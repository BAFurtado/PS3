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Gustavol\projetos\modelos\PS3_planhab_pvt\auxiliary\housing_data\inputs\"/>
    </mc:Choice>
  </mc:AlternateContent>
  <xr:revisionPtr revIDLastSave="0" documentId="13_ncr:1_{0BBA1699-1DB4-4773-BADC-743D7C87E0D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onsolidado" sheetId="5" r:id="rId1"/>
    <sheet name="juros" sheetId="1" r:id="rId2"/>
    <sheet name="FGTS" sheetId="2" r:id="rId3"/>
    <sheet name="SBPE" sheetId="3" r:id="rId4"/>
    <sheet name="aux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3" i="4" l="1"/>
  <c r="E62" i="4"/>
  <c r="E61" i="4"/>
  <c r="E60" i="4"/>
  <c r="E59" i="4"/>
  <c r="E58" i="4"/>
  <c r="E57" i="4"/>
  <c r="E56" i="4"/>
  <c r="E55" i="4"/>
  <c r="E54" i="4"/>
  <c r="E64" i="4" s="1"/>
  <c r="A27" i="3" s="1"/>
  <c r="D45" i="4"/>
  <c r="D44" i="4"/>
  <c r="D43" i="4"/>
  <c r="D46" i="4" s="1"/>
  <c r="A28" i="2" s="1"/>
  <c r="D42" i="4"/>
  <c r="D41" i="4"/>
  <c r="D40" i="4"/>
  <c r="D39" i="4"/>
  <c r="D38" i="4"/>
  <c r="D37" i="4"/>
  <c r="D36" i="4"/>
  <c r="G29" i="4"/>
  <c r="H29" i="4" s="1"/>
  <c r="D29" i="4"/>
  <c r="G28" i="4"/>
  <c r="H28" i="4" s="1"/>
  <c r="D28" i="4"/>
  <c r="G27" i="4"/>
  <c r="H27" i="4" s="1"/>
  <c r="D27" i="4"/>
  <c r="G26" i="4"/>
  <c r="D26" i="4"/>
  <c r="H26" i="4" s="1"/>
  <c r="G25" i="4"/>
  <c r="D25" i="4"/>
  <c r="H24" i="4"/>
  <c r="G24" i="4"/>
  <c r="D24" i="4"/>
  <c r="H23" i="4"/>
  <c r="G23" i="4"/>
  <c r="D23" i="4"/>
  <c r="G22" i="4"/>
  <c r="D22" i="4"/>
  <c r="H22" i="4" s="1"/>
  <c r="G21" i="4"/>
  <c r="H21" i="4" s="1"/>
  <c r="D21" i="4"/>
  <c r="G20" i="4"/>
  <c r="H20" i="4" s="1"/>
  <c r="D20" i="4"/>
  <c r="G19" i="4"/>
  <c r="H19" i="4" s="1"/>
  <c r="D19" i="4"/>
  <c r="G18" i="4"/>
  <c r="D18" i="4"/>
  <c r="H18" i="4" s="1"/>
  <c r="G17" i="4"/>
  <c r="D17" i="4"/>
  <c r="H16" i="4"/>
  <c r="G16" i="4"/>
  <c r="D16" i="4"/>
  <c r="H15" i="4"/>
  <c r="G15" i="4"/>
  <c r="D15" i="4"/>
  <c r="G14" i="4"/>
  <c r="D14" i="4"/>
  <c r="H14" i="4" s="1"/>
  <c r="G13" i="4"/>
  <c r="H13" i="4" s="1"/>
  <c r="D13" i="4"/>
  <c r="G12" i="4"/>
  <c r="H12" i="4" s="1"/>
  <c r="D12" i="4"/>
  <c r="G11" i="4"/>
  <c r="H11" i="4" s="1"/>
  <c r="D11" i="4"/>
  <c r="G10" i="4"/>
  <c r="D10" i="4"/>
  <c r="H10" i="4" s="1"/>
  <c r="G9" i="4"/>
  <c r="D9" i="4"/>
  <c r="H8" i="4"/>
  <c r="G8" i="4"/>
  <c r="D8" i="4"/>
  <c r="H7" i="4"/>
  <c r="G7" i="4"/>
  <c r="D7" i="4"/>
  <c r="D6" i="4"/>
  <c r="D5" i="4"/>
  <c r="D4" i="4"/>
  <c r="J4" i="1"/>
  <c r="J3" i="1"/>
  <c r="H17" i="4" l="1"/>
  <c r="H9" i="4"/>
  <c r="B46" i="3"/>
  <c r="B45" i="3"/>
  <c r="C44" i="3"/>
  <c r="C42" i="3"/>
  <c r="B42" i="3"/>
  <c r="D41" i="3"/>
  <c r="D33" i="3"/>
  <c r="C41" i="3"/>
  <c r="C33" i="3"/>
  <c r="B32" i="3"/>
  <c r="D47" i="3"/>
  <c r="D39" i="3"/>
  <c r="B41" i="3"/>
  <c r="B33" i="3"/>
  <c r="D40" i="3"/>
  <c r="D32" i="3"/>
  <c r="B40" i="3"/>
  <c r="C47" i="3"/>
  <c r="C39" i="3"/>
  <c r="B47" i="3"/>
  <c r="B39" i="3"/>
  <c r="D46" i="3"/>
  <c r="D38" i="3"/>
  <c r="C46" i="3"/>
  <c r="C38" i="3"/>
  <c r="B38" i="3"/>
  <c r="D45" i="3"/>
  <c r="D37" i="3"/>
  <c r="C45" i="3"/>
  <c r="C37" i="3"/>
  <c r="B37" i="3"/>
  <c r="D44" i="3"/>
  <c r="D36" i="3"/>
  <c r="C36" i="3"/>
  <c r="B44" i="3"/>
  <c r="B36" i="3"/>
  <c r="D43" i="3"/>
  <c r="D35" i="3"/>
  <c r="C43" i="3"/>
  <c r="C35" i="3"/>
  <c r="C40" i="3"/>
  <c r="C32" i="3"/>
  <c r="B34" i="3"/>
  <c r="C34" i="3"/>
  <c r="D34" i="3"/>
  <c r="B35" i="3"/>
  <c r="D42" i="3"/>
  <c r="H25" i="4"/>
  <c r="H30" i="4" s="1"/>
  <c r="A27" i="2" s="1"/>
  <c r="B43" i="3"/>
  <c r="B34" i="2" l="1"/>
  <c r="C34" i="2"/>
  <c r="D34" i="2"/>
  <c r="D35" i="2" l="1"/>
  <c r="J34" i="2"/>
  <c r="C35" i="2"/>
  <c r="I34" i="2"/>
  <c r="B35" i="2"/>
  <c r="H34" i="2"/>
  <c r="B36" i="2" l="1"/>
  <c r="H35" i="2"/>
  <c r="C36" i="2"/>
  <c r="I35" i="2"/>
  <c r="D36" i="2"/>
  <c r="J35" i="2"/>
  <c r="J36" i="2" l="1"/>
  <c r="D37" i="2"/>
  <c r="C37" i="2"/>
  <c r="I36" i="2"/>
  <c r="B37" i="2"/>
  <c r="H36" i="2"/>
  <c r="B38" i="2" l="1"/>
  <c r="H37" i="2"/>
  <c r="I37" i="2"/>
  <c r="C38" i="2"/>
  <c r="J37" i="2"/>
  <c r="D38" i="2"/>
  <c r="D39" i="2" l="1"/>
  <c r="J38" i="2"/>
  <c r="C39" i="2"/>
  <c r="I38" i="2"/>
  <c r="B39" i="2"/>
  <c r="H38" i="2"/>
  <c r="B40" i="2" l="1"/>
  <c r="H39" i="2"/>
  <c r="C40" i="2"/>
  <c r="I39" i="2"/>
  <c r="D40" i="2"/>
  <c r="J39" i="2"/>
  <c r="J40" i="2" l="1"/>
  <c r="D41" i="2"/>
  <c r="C41" i="2"/>
  <c r="I40" i="2"/>
  <c r="B41" i="2"/>
  <c r="H40" i="2"/>
  <c r="B42" i="2" l="1"/>
  <c r="H41" i="2"/>
  <c r="I41" i="2"/>
  <c r="C42" i="2"/>
  <c r="J41" i="2"/>
  <c r="D42" i="2"/>
  <c r="D43" i="2" l="1"/>
  <c r="J42" i="2"/>
  <c r="C43" i="2"/>
  <c r="I42" i="2"/>
  <c r="B43" i="2"/>
  <c r="H42" i="2"/>
  <c r="B44" i="2" l="1"/>
  <c r="H43" i="2"/>
  <c r="C44" i="2"/>
  <c r="I43" i="2"/>
  <c r="D44" i="2"/>
  <c r="J43" i="2"/>
  <c r="J44" i="2" l="1"/>
  <c r="D45" i="2"/>
  <c r="C45" i="2"/>
  <c r="I44" i="2"/>
  <c r="B45" i="2"/>
  <c r="H44" i="2"/>
  <c r="B46" i="2" l="1"/>
  <c r="H45" i="2"/>
  <c r="I45" i="2"/>
  <c r="C46" i="2"/>
  <c r="J45" i="2"/>
  <c r="D46" i="2"/>
  <c r="D47" i="2" l="1"/>
  <c r="J46" i="2"/>
  <c r="C47" i="2"/>
  <c r="I46" i="2"/>
  <c r="B47" i="2"/>
  <c r="H46" i="2"/>
  <c r="B48" i="2" l="1"/>
  <c r="H48" i="2" s="1"/>
  <c r="H47" i="2"/>
  <c r="C48" i="2"/>
  <c r="I48" i="2" s="1"/>
  <c r="I47" i="2"/>
  <c r="D48" i="2"/>
  <c r="J48" i="2" s="1"/>
  <c r="J47" i="2"/>
</calcChain>
</file>

<file path=xl/sharedStrings.xml><?xml version="1.0" encoding="utf-8"?>
<sst xmlns="http://schemas.openxmlformats.org/spreadsheetml/2006/main" count="223" uniqueCount="188">
  <si>
    <t>Fonte: Banco Central do Brasil</t>
  </si>
  <si>
    <t>DateTime</t>
  </si>
  <si>
    <t>SFH</t>
  </si>
  <si>
    <t>FGTS</t>
  </si>
  <si>
    <t>Livre</t>
  </si>
  <si>
    <t>Comercial</t>
  </si>
  <si>
    <t>Home Equity</t>
  </si>
  <si>
    <t>Taxa de juros Média 2022-2025</t>
  </si>
  <si>
    <t>2014-04-30</t>
  </si>
  <si>
    <t>SBPE</t>
  </si>
  <si>
    <t>2014-05-31</t>
  </si>
  <si>
    <t>2014-06-30</t>
  </si>
  <si>
    <t>2014-07-31</t>
  </si>
  <si>
    <t>2014-08-31</t>
  </si>
  <si>
    <t>2014-09-30</t>
  </si>
  <si>
    <t>2014-10-31</t>
  </si>
  <si>
    <t>2014-11-30</t>
  </si>
  <si>
    <t>2014-12-31</t>
  </si>
  <si>
    <t>2015-01-31</t>
  </si>
  <si>
    <t>2015-02-28</t>
  </si>
  <si>
    <t>2015-03-31</t>
  </si>
  <si>
    <t>2015-04-30</t>
  </si>
  <si>
    <t>2015-05-31</t>
  </si>
  <si>
    <t>2015-06-30</t>
  </si>
  <si>
    <t>2015-07-31</t>
  </si>
  <si>
    <t>2015-08-31</t>
  </si>
  <si>
    <t>2015-09-30</t>
  </si>
  <si>
    <t>2015-10-31</t>
  </si>
  <si>
    <t>2015-11-30</t>
  </si>
  <si>
    <t>2015-12-31</t>
  </si>
  <si>
    <t>2016-01-31</t>
  </si>
  <si>
    <t>2016-02-29</t>
  </si>
  <si>
    <t>2016-03-31</t>
  </si>
  <si>
    <t>2016-04-30</t>
  </si>
  <si>
    <t>2016-05-31</t>
  </si>
  <si>
    <t>2016-06-30</t>
  </si>
  <si>
    <t>2016-07-31</t>
  </si>
  <si>
    <t>2016-08-31</t>
  </si>
  <si>
    <t>2016-09-30</t>
  </si>
  <si>
    <t>2016-10-31</t>
  </si>
  <si>
    <t>2016-11-30</t>
  </si>
  <si>
    <t>2016-12-31</t>
  </si>
  <si>
    <t>2017-01-31</t>
  </si>
  <si>
    <t>2017-02-28</t>
  </si>
  <si>
    <t>2017-03-31</t>
  </si>
  <si>
    <t>2017-04-30</t>
  </si>
  <si>
    <t>2017-05-31</t>
  </si>
  <si>
    <t>2017-06-30</t>
  </si>
  <si>
    <t>2017-07-31</t>
  </si>
  <si>
    <t>2017-08-31</t>
  </si>
  <si>
    <t>2017-09-30</t>
  </si>
  <si>
    <t>2017-10-31</t>
  </si>
  <si>
    <t>2017-11-30</t>
  </si>
  <si>
    <t>2017-12-31</t>
  </si>
  <si>
    <t>2018-01-31</t>
  </si>
  <si>
    <t>2018-02-28</t>
  </si>
  <si>
    <t>2018-03-31</t>
  </si>
  <si>
    <t>2018-04-30</t>
  </si>
  <si>
    <t>2018-05-31</t>
  </si>
  <si>
    <t>2018-06-30</t>
  </si>
  <si>
    <t>2018-07-31</t>
  </si>
  <si>
    <t>2018-08-31</t>
  </si>
  <si>
    <t>2018-09-30</t>
  </si>
  <si>
    <t>2018-10-31</t>
  </si>
  <si>
    <t>2018-11-30</t>
  </si>
  <si>
    <t>2018-12-31</t>
  </si>
  <si>
    <t>2019-01-31</t>
  </si>
  <si>
    <t>2019-02-28</t>
  </si>
  <si>
    <t>2019-03-31</t>
  </si>
  <si>
    <t>2019-04-30</t>
  </si>
  <si>
    <t>2019-05-31</t>
  </si>
  <si>
    <t>2019-06-30</t>
  </si>
  <si>
    <t>2019-07-31</t>
  </si>
  <si>
    <t>2019-08-31</t>
  </si>
  <si>
    <t>2019-09-30</t>
  </si>
  <si>
    <t>2019-10-31</t>
  </si>
  <si>
    <t>2019-11-30</t>
  </si>
  <si>
    <t>2019-12-31</t>
  </si>
  <si>
    <t>2020-01-31</t>
  </si>
  <si>
    <t>2020-02-29</t>
  </si>
  <si>
    <t>2020-03-31</t>
  </si>
  <si>
    <t>2020-04-30</t>
  </si>
  <si>
    <t>2020-05-31</t>
  </si>
  <si>
    <t>2020-06-30</t>
  </si>
  <si>
    <t>2020-07-31</t>
  </si>
  <si>
    <t>2020-08-31</t>
  </si>
  <si>
    <t>2020-09-30</t>
  </si>
  <si>
    <t>2020-10-31</t>
  </si>
  <si>
    <t>2020-11-30</t>
  </si>
  <si>
    <t>2020-12-31</t>
  </si>
  <si>
    <t>2021-01-31</t>
  </si>
  <si>
    <t>2021-02-28</t>
  </si>
  <si>
    <t>2021-03-31</t>
  </si>
  <si>
    <t>2021-04-30</t>
  </si>
  <si>
    <t>2021-05-31</t>
  </si>
  <si>
    <t>2021-06-30</t>
  </si>
  <si>
    <t>2021-07-31</t>
  </si>
  <si>
    <t>2021-08-31</t>
  </si>
  <si>
    <t>2021-09-30</t>
  </si>
  <si>
    <t>2021-10-31</t>
  </si>
  <si>
    <t>2021-11-30</t>
  </si>
  <si>
    <t>2021-12-31</t>
  </si>
  <si>
    <t>2022-01-31</t>
  </si>
  <si>
    <t>2022-02-28</t>
  </si>
  <si>
    <t>2022-03-31</t>
  </si>
  <si>
    <t>2022-04-30</t>
  </si>
  <si>
    <t>2022-05-31</t>
  </si>
  <si>
    <t>2022-06-30</t>
  </si>
  <si>
    <t>2022-07-31</t>
  </si>
  <si>
    <t>2022-08-31</t>
  </si>
  <si>
    <t>2022-09-30</t>
  </si>
  <si>
    <t>2022-10-31</t>
  </si>
  <si>
    <t>2022-11-30</t>
  </si>
  <si>
    <t>2022-12-31</t>
  </si>
  <si>
    <t>2023-01-31</t>
  </si>
  <si>
    <t>2023-02-28</t>
  </si>
  <si>
    <t>2023-03-31</t>
  </si>
  <si>
    <t>2023-04-30</t>
  </si>
  <si>
    <t>2023-05-31</t>
  </si>
  <si>
    <t>2023-06-30</t>
  </si>
  <si>
    <t>2023-07-31</t>
  </si>
  <si>
    <t>2023-08-31</t>
  </si>
  <si>
    <t>2023-09-30</t>
  </si>
  <si>
    <t>2023-10-31</t>
  </si>
  <si>
    <t>2023-11-30</t>
  </si>
  <si>
    <t>2023-12-31</t>
  </si>
  <si>
    <t>2024-01-31</t>
  </si>
  <si>
    <t>2024-02-29</t>
  </si>
  <si>
    <t>2024-03-31</t>
  </si>
  <si>
    <t>2024-04-30</t>
  </si>
  <si>
    <t>2024-05-31</t>
  </si>
  <si>
    <t>2024-06-30</t>
  </si>
  <si>
    <t>2024-07-31</t>
  </si>
  <si>
    <t>2024-08-31</t>
  </si>
  <si>
    <t>2024-09-30</t>
  </si>
  <si>
    <t>2024-10-31</t>
  </si>
  <si>
    <t>2024-11-30</t>
  </si>
  <si>
    <t>2024-12-31</t>
  </si>
  <si>
    <t>2025-01-31</t>
  </si>
  <si>
    <t>2025-02-28</t>
  </si>
  <si>
    <t>2025-03-31</t>
  </si>
  <si>
    <t>2025-04-30</t>
  </si>
  <si>
    <t>2025-05-31</t>
  </si>
  <si>
    <t>2025-06-30</t>
  </si>
  <si>
    <t>2025-07-31</t>
  </si>
  <si>
    <t>2025-08-31</t>
  </si>
  <si>
    <t>2025-09-30</t>
  </si>
  <si>
    <t>2025-10-31</t>
  </si>
  <si>
    <t>2025-11-30</t>
  </si>
  <si>
    <t>CENÁRIOS</t>
  </si>
  <si>
    <t>R$  - Reais de 2025</t>
  </si>
  <si>
    <t>ARRECADACAO BRUTA</t>
  </si>
  <si>
    <t>SAQUES</t>
  </si>
  <si>
    <t>ARRECADACAO LIQUIDA</t>
  </si>
  <si>
    <t>Cenario</t>
  </si>
  <si>
    <t>Tendencial</t>
  </si>
  <si>
    <t>Otimista</t>
  </si>
  <si>
    <t>Pessimista</t>
  </si>
  <si>
    <t>taxa</t>
  </si>
  <si>
    <t>O quanto vai efetivamente para habitação?</t>
  </si>
  <si>
    <t>Assumptions</t>
  </si>
  <si>
    <t>Média da relação entre o crescimento absoluto dos ativos totais e a Arrecadação Liquida do FGTS (2002-2025)</t>
  </si>
  <si>
    <t>Média da relação entre novas originações (financiamento habitacional) e ativos totais  do FGTS (2016-2025)</t>
  </si>
  <si>
    <t>ATIVOS TOTAIS - PROJEÇÃO</t>
  </si>
  <si>
    <t>ORIGINAÇÃO DE CRÉDITO HABITACIONAL</t>
  </si>
  <si>
    <r>
      <rPr>
        <b/>
        <sz val="12"/>
        <rFont val="Aptos Narrow"/>
      </rPr>
      <t xml:space="preserve">R$ </t>
    </r>
    <r>
      <rPr>
        <b/>
        <sz val="12"/>
        <color rgb="FFFF0000"/>
        <rFont val="Aptos Narrow (Body)"/>
      </rPr>
      <t xml:space="preserve">Mil </t>
    </r>
    <r>
      <rPr>
        <b/>
        <sz val="12"/>
        <rFont val="Aptos Narrow"/>
      </rPr>
      <t>- Reais de 2025</t>
    </r>
  </si>
  <si>
    <t>ESTOQUE SBPE</t>
  </si>
  <si>
    <t>Variação a.m</t>
  </si>
  <si>
    <t>Assumption</t>
  </si>
  <si>
    <t>Média da relação entre originação de novos financiamentos/ Estoque da poupança (2016-2025)</t>
  </si>
  <si>
    <t>Resolução CMN nº 5.255: % do crédito imobiliário direcionado para habitacional</t>
  </si>
  <si>
    <t>ANO</t>
  </si>
  <si>
    <t>ARRECADACAO</t>
  </si>
  <si>
    <t>ARRECADACAO_LIQUIDA</t>
  </si>
  <si>
    <t>ATIVOS TOTAIS</t>
  </si>
  <si>
    <t>CRESC ATIVOS</t>
  </si>
  <si>
    <t>CRESC ATIVOS/ARRECADACAO_LIQUIDA</t>
  </si>
  <si>
    <t>Concessões (R$ Bilhões)</t>
  </si>
  <si>
    <t>Ano</t>
  </si>
  <si>
    <t>Concessões/Ativos Totais</t>
  </si>
  <si>
    <t>Saldo SBPE (Nominal R$ Mil)</t>
  </si>
  <si>
    <t>Concessões/Saldo</t>
  </si>
  <si>
    <t>fgts_Tendencial</t>
  </si>
  <si>
    <t>fgts_Otimista</t>
  </si>
  <si>
    <t>fgts_Pessimista</t>
  </si>
  <si>
    <t>sbpe_Tendencial</t>
  </si>
  <si>
    <t>sbpe_Otimista</t>
  </si>
  <si>
    <t>sbpe_Pessimista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</si>
</sst>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%"/>
    <numFmt numFmtId="165" formatCode="_(* #,##0_);_(* \(#,##0\);_(* &quot;-&quot;??_);_(@_)"/>
    <numFmt numFmtId="166" formatCode="_(* #,##0.00_);_(* \(#,##0.00\);_(* &quot;-&quot;??_);_(@_)"/>
    <numFmt numFmtId="167" formatCode="#,##0.00_ ;\-#,##0.00\ "/>
    <numFmt numFmtId="168" formatCode="#,##0_ ;\-#,##0\ "/>
    <numFmt numFmtId="169" formatCode="#,##0.0_ ;\-#,##0.0\ "/>
  </numFmts>
  <fonts count="21">
    <font>
      <sz val="12"/>
      <name val="Aptos Narrow"/>
      <scheme val="minor"/>
    </font>
    <font>
      <sz val="10"/>
      <name val="Aptos Narrow"/>
    </font>
    <font>
      <b/>
      <sz val="10"/>
      <name val="Calibri"/>
    </font>
    <font>
      <b/>
      <sz val="14"/>
      <name val="Calibri"/>
    </font>
    <font>
      <sz val="12"/>
      <name val="Aptos Narrow"/>
    </font>
    <font>
      <sz val="10"/>
      <name val="Calibri"/>
    </font>
    <font>
      <b/>
      <sz val="14"/>
      <name val="Aptos Narrow"/>
    </font>
    <font>
      <sz val="14"/>
      <name val="Aptos Narrow"/>
    </font>
    <font>
      <b/>
      <sz val="16"/>
      <name val="Aptos Narrow"/>
    </font>
    <font>
      <sz val="12"/>
      <name val="Aptos Narrow"/>
    </font>
    <font>
      <b/>
      <sz val="11"/>
      <name val="Aptos Narrow"/>
    </font>
    <font>
      <b/>
      <sz val="12"/>
      <name val="Aptos Narrow"/>
    </font>
    <font>
      <sz val="11"/>
      <name val="Aptos Narrow"/>
    </font>
    <font>
      <sz val="11"/>
      <color rgb="FFFF0000"/>
      <name val="Aptos Narrow"/>
    </font>
    <font>
      <sz val="11"/>
      <name val="Calibri"/>
    </font>
    <font>
      <sz val="10"/>
      <name val="Times New Roman"/>
    </font>
    <font>
      <b/>
      <sz val="12"/>
      <name val="Times New Roman"/>
    </font>
    <font>
      <b/>
      <sz val="10"/>
      <color rgb="FF000000"/>
      <name val="Times New Roman"/>
    </font>
    <font>
      <sz val="10"/>
      <color rgb="FF000000"/>
      <name val="Times New Roman"/>
    </font>
    <font>
      <b/>
      <sz val="10"/>
      <name val="Times New Roman"/>
    </font>
    <font>
      <b/>
      <sz val="12"/>
      <color rgb="FFFF0000"/>
      <name val="Aptos Narrow (Body)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A6C9EB"/>
        <bgColor rgb="FFA6C9EB"/>
      </patternFill>
    </fill>
    <fill>
      <patternFill patternType="solid">
        <fgColor rgb="FFC1E4F5"/>
        <bgColor rgb="FFC1E4F5"/>
      </patternFill>
    </fill>
    <fill>
      <patternFill patternType="solid">
        <fgColor rgb="FFB8D4EF"/>
        <bgColor rgb="FFB8D4E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49" fontId="2" fillId="0" borderId="0" xfId="0" applyNumberFormat="1" applyFont="1" applyAlignment="1">
      <alignment horizontal="center" vertical="center" wrapText="1"/>
    </xf>
    <xf numFmtId="2" fontId="5" fillId="0" borderId="0" xfId="0" applyNumberFormat="1" applyFont="1" applyAlignment="1">
      <alignment wrapText="1"/>
    </xf>
    <xf numFmtId="0" fontId="6" fillId="0" borderId="3" xfId="0" applyFont="1" applyBorder="1"/>
    <xf numFmtId="2" fontId="7" fillId="2" borderId="3" xfId="0" applyNumberFormat="1" applyFont="1" applyFill="1" applyBorder="1"/>
    <xf numFmtId="0" fontId="8" fillId="0" borderId="4" xfId="0" applyFont="1" applyBorder="1"/>
    <xf numFmtId="0" fontId="9" fillId="0" borderId="4" xfId="0" applyFont="1" applyBorder="1"/>
    <xf numFmtId="0" fontId="10" fillId="0" borderId="4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/>
    <xf numFmtId="0" fontId="10" fillId="0" borderId="0" xfId="0" applyFont="1"/>
    <xf numFmtId="0" fontId="10" fillId="0" borderId="3" xfId="0" applyFont="1" applyBorder="1" applyAlignment="1">
      <alignment horizontal="center"/>
    </xf>
    <xf numFmtId="164" fontId="10" fillId="0" borderId="3" xfId="0" applyNumberFormat="1" applyFont="1" applyBorder="1" applyAlignment="1">
      <alignment horizontal="center"/>
    </xf>
    <xf numFmtId="164" fontId="10" fillId="0" borderId="0" xfId="0" applyNumberFormat="1" applyFont="1" applyAlignment="1">
      <alignment horizontal="center"/>
    </xf>
    <xf numFmtId="0" fontId="10" fillId="0" borderId="3" xfId="0" applyFont="1" applyBorder="1"/>
    <xf numFmtId="165" fontId="12" fillId="3" borderId="3" xfId="0" applyNumberFormat="1" applyFont="1" applyFill="1" applyBorder="1"/>
    <xf numFmtId="165" fontId="9" fillId="0" borderId="0" xfId="0" applyNumberFormat="1" applyFont="1"/>
    <xf numFmtId="0" fontId="9" fillId="0" borderId="3" xfId="0" applyFont="1" applyBorder="1"/>
    <xf numFmtId="165" fontId="9" fillId="0" borderId="3" xfId="0" applyNumberFormat="1" applyFont="1" applyBorder="1"/>
    <xf numFmtId="0" fontId="12" fillId="0" borderId="3" xfId="0" applyFont="1" applyBorder="1"/>
    <xf numFmtId="165" fontId="13" fillId="0" borderId="3" xfId="0" applyNumberFormat="1" applyFont="1" applyBorder="1"/>
    <xf numFmtId="165" fontId="13" fillId="0" borderId="0" xfId="0" applyNumberFormat="1" applyFont="1"/>
    <xf numFmtId="0" fontId="9" fillId="0" borderId="0" xfId="0" applyFont="1"/>
    <xf numFmtId="166" fontId="9" fillId="4" borderId="5" xfId="0" applyNumberFormat="1" applyFont="1" applyFill="1" applyBorder="1"/>
    <xf numFmtId="164" fontId="9" fillId="4" borderId="5" xfId="0" applyNumberFormat="1" applyFont="1" applyFill="1" applyBorder="1"/>
    <xf numFmtId="167" fontId="14" fillId="0" borderId="0" xfId="0" applyNumberFormat="1" applyFont="1"/>
    <xf numFmtId="0" fontId="10" fillId="2" borderId="5" xfId="0" applyFont="1" applyFill="1" applyBorder="1" applyAlignment="1">
      <alignment horizontal="left"/>
    </xf>
    <xf numFmtId="0" fontId="10" fillId="2" borderId="5" xfId="0" applyFont="1" applyFill="1" applyBorder="1" applyAlignment="1">
      <alignment horizontal="center"/>
    </xf>
    <xf numFmtId="0" fontId="9" fillId="2" borderId="5" xfId="0" applyFont="1" applyFill="1" applyBorder="1"/>
    <xf numFmtId="168" fontId="14" fillId="3" borderId="5" xfId="0" applyNumberFormat="1" applyFont="1" applyFill="1" applyBorder="1"/>
    <xf numFmtId="165" fontId="12" fillId="0" borderId="3" xfId="0" applyNumberFormat="1" applyFont="1" applyBorder="1" applyAlignment="1">
      <alignment horizontal="center"/>
    </xf>
    <xf numFmtId="9" fontId="12" fillId="0" borderId="6" xfId="0" applyNumberFormat="1" applyFont="1" applyBorder="1" applyAlignment="1">
      <alignment horizontal="center"/>
    </xf>
    <xf numFmtId="0" fontId="8" fillId="0" borderId="0" xfId="0" applyFont="1"/>
    <xf numFmtId="0" fontId="10" fillId="0" borderId="3" xfId="0" applyFont="1" applyBorder="1" applyAlignment="1">
      <alignment horizontal="center" vertical="center"/>
    </xf>
    <xf numFmtId="10" fontId="10" fillId="0" borderId="3" xfId="0" applyNumberFormat="1" applyFont="1" applyBorder="1" applyAlignment="1">
      <alignment horizontal="center"/>
    </xf>
    <xf numFmtId="166" fontId="9" fillId="5" borderId="3" xfId="0" applyNumberFormat="1" applyFont="1" applyFill="1" applyBorder="1"/>
    <xf numFmtId="166" fontId="9" fillId="0" borderId="3" xfId="0" applyNumberFormat="1" applyFont="1" applyBorder="1"/>
    <xf numFmtId="9" fontId="9" fillId="4" borderId="5" xfId="0" applyNumberFormat="1" applyFont="1" applyFill="1" applyBorder="1"/>
    <xf numFmtId="9" fontId="9" fillId="4" borderId="5" xfId="0" applyNumberFormat="1" applyFont="1" applyFill="1" applyBorder="1" applyAlignment="1">
      <alignment horizontal="right"/>
    </xf>
    <xf numFmtId="0" fontId="15" fillId="0" borderId="0" xfId="0" applyFont="1"/>
    <xf numFmtId="0" fontId="16" fillId="0" borderId="4" xfId="0" applyFont="1" applyBorder="1"/>
    <xf numFmtId="0" fontId="15" fillId="0" borderId="4" xfId="0" applyFont="1" applyBorder="1"/>
    <xf numFmtId="0" fontId="17" fillId="0" borderId="0" xfId="0" applyFont="1" applyAlignment="1">
      <alignment horizontal="center" vertical="top"/>
    </xf>
    <xf numFmtId="0" fontId="17" fillId="0" borderId="0" xfId="0" applyFont="1" applyAlignment="1">
      <alignment horizontal="left" vertical="top"/>
    </xf>
    <xf numFmtId="0" fontId="15" fillId="0" borderId="0" xfId="0" applyFont="1" applyAlignment="1">
      <alignment horizontal="left" vertical="top"/>
    </xf>
    <xf numFmtId="165" fontId="18" fillId="0" borderId="0" xfId="0" applyNumberFormat="1" applyFont="1" applyAlignment="1">
      <alignment horizontal="left" vertical="top"/>
    </xf>
    <xf numFmtId="168" fontId="15" fillId="0" borderId="0" xfId="0" applyNumberFormat="1" applyFont="1"/>
    <xf numFmtId="169" fontId="15" fillId="0" borderId="0" xfId="0" applyNumberFormat="1" applyFont="1"/>
    <xf numFmtId="169" fontId="15" fillId="2" borderId="5" xfId="0" applyNumberFormat="1" applyFont="1" applyFill="1" applyBorder="1"/>
    <xf numFmtId="0" fontId="19" fillId="0" borderId="0" xfId="0" applyFont="1"/>
    <xf numFmtId="164" fontId="15" fillId="0" borderId="0" xfId="0" applyNumberFormat="1" applyFont="1"/>
    <xf numFmtId="164" fontId="15" fillId="2" borderId="5" xfId="0" applyNumberFormat="1" applyFont="1" applyFill="1" applyBorder="1"/>
    <xf numFmtId="9" fontId="15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0"/>
    <xf numFmtId="49" fontId="3" fillId="0" borderId="1" xfId="0" applyNumberFormat="1" applyFont="1" applyBorder="1" applyAlignment="1">
      <alignment horizontal="center" vertical="center" wrapText="1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8994D-02AC-4EEE-99EC-1ABDE1B60090}">
  <dimension ref="A1:G16"/>
  <sheetViews>
    <sheetView tabSelected="1" workbookViewId="0">
      <selection activeCell="A9" sqref="A9"/>
    </sheetView>
  </sheetViews>
  <sheetFormatPr defaultRowHeight="15.75"/>
  <cols>
    <col min="2" max="4" width="14.25" bestFit="1" customWidth="1"/>
    <col min="5" max="5" width="13.75" bestFit="1" customWidth="1"/>
    <col min="6" max="6" width="14.75" bestFit="1" customWidth="1"/>
    <col min="7" max="7" width="13.75" bestFit="1" customWidth="1"/>
  </cols>
  <sheetData>
    <row r="1" spans="1:7">
      <c r="A1" s="11" t="s">
        <v>154</v>
      </c>
      <c r="B1" s="11" t="s">
        <v>182</v>
      </c>
      <c r="C1" s="11" t="s">
        <v>183</v>
      </c>
      <c r="D1" s="11" t="s">
        <v>184</v>
      </c>
      <c r="E1" s="11" t="s">
        <v>185</v>
      </c>
      <c r="F1" s="11" t="s">
        <v>186</v>
      </c>
      <c r="G1" s="11" t="s">
        <v>187</v>
      </c>
    </row>
    <row r="2" spans="1:7">
      <c r="A2" s="17">
        <v>2026</v>
      </c>
      <c r="B2" s="30">
        <v>100691268225.26865</v>
      </c>
      <c r="C2" s="30">
        <v>100691268225.26865</v>
      </c>
      <c r="D2" s="30">
        <v>100691268225.26865</v>
      </c>
      <c r="E2" s="36">
        <v>95968699.724519894</v>
      </c>
      <c r="F2" s="36">
        <v>105756842.92351204</v>
      </c>
      <c r="G2" s="36">
        <v>89946213.193005368</v>
      </c>
    </row>
    <row r="3" spans="1:7">
      <c r="A3" s="19">
        <v>2027</v>
      </c>
      <c r="B3" s="30">
        <v>106475811293.17233</v>
      </c>
      <c r="C3" s="30">
        <v>106831185046.6311</v>
      </c>
      <c r="D3" s="30">
        <v>105536791241.77527</v>
      </c>
      <c r="E3" s="36">
        <v>89977533.51401037</v>
      </c>
      <c r="F3" s="36">
        <v>106259456.47351803</v>
      </c>
      <c r="G3" s="36">
        <v>79038853.260338709</v>
      </c>
    </row>
    <row r="4" spans="1:7">
      <c r="A4" s="19">
        <v>2028</v>
      </c>
      <c r="B4" s="30">
        <v>112435100897.52576</v>
      </c>
      <c r="C4" s="30">
        <v>113533916543.22026</v>
      </c>
      <c r="D4" s="30">
        <v>109609776168.30319</v>
      </c>
      <c r="E4" s="36">
        <v>84360385.839387953</v>
      </c>
      <c r="F4" s="36">
        <v>106692128.70508969</v>
      </c>
      <c r="G4" s="36">
        <v>69454178.257669672</v>
      </c>
    </row>
    <row r="5" spans="1:7">
      <c r="A5" s="19">
        <v>2029</v>
      </c>
      <c r="B5" s="30">
        <v>118573617597.96201</v>
      </c>
      <c r="C5" s="30">
        <v>120838902456.9182</v>
      </c>
      <c r="D5" s="30">
        <v>112906241921.91975</v>
      </c>
      <c r="E5" s="36">
        <v>79093907.345907316</v>
      </c>
      <c r="F5" s="36">
        <v>106975462.00147049</v>
      </c>
      <c r="G5" s="36">
        <v>61031792.320660532</v>
      </c>
    </row>
    <row r="6" spans="1:7">
      <c r="A6" s="19">
        <v>2030</v>
      </c>
      <c r="B6" s="30">
        <v>124895910242.97954</v>
      </c>
      <c r="C6" s="30">
        <v>128788055612.76111</v>
      </c>
      <c r="D6" s="30">
        <v>115422079240.55258</v>
      </c>
      <c r="E6" s="36">
        <v>74156206.340181395</v>
      </c>
      <c r="F6" s="36">
        <v>107360377.1587134</v>
      </c>
      <c r="G6" s="36">
        <v>53630750.047221355</v>
      </c>
    </row>
    <row r="7" spans="1:7">
      <c r="A7" s="19">
        <v>2031</v>
      </c>
      <c r="B7" s="30">
        <v>131406593806.98032</v>
      </c>
      <c r="C7" s="30">
        <v>137425907897.40187</v>
      </c>
      <c r="D7" s="30">
        <v>117153049376.46849</v>
      </c>
      <c r="E7" s="36">
        <v>69526757.790808663</v>
      </c>
      <c r="F7" s="36">
        <v>107660058.42478894</v>
      </c>
      <c r="G7" s="36">
        <v>47127197.83020135</v>
      </c>
    </row>
    <row r="8" spans="1:7">
      <c r="A8" s="19">
        <v>2032</v>
      </c>
      <c r="B8" s="30">
        <v>138110346925.22577</v>
      </c>
      <c r="C8" s="30">
        <v>146799764536.07675</v>
      </c>
      <c r="D8" s="30">
        <v>118094782764.60921</v>
      </c>
      <c r="E8" s="36">
        <v>65186318.009939723</v>
      </c>
      <c r="F8" s="36">
        <v>107880164.08825913</v>
      </c>
      <c r="G8" s="36">
        <v>41412301.214720845</v>
      </c>
    </row>
    <row r="9" spans="1:7">
      <c r="A9" s="19">
        <v>2033</v>
      </c>
      <c r="B9" s="30">
        <v>145011909105.14914</v>
      </c>
      <c r="C9" s="30">
        <v>156959867128.00476</v>
      </c>
      <c r="D9" s="30">
        <v>118242777665.45644</v>
      </c>
      <c r="E9" s="36">
        <v>61116844.661131859</v>
      </c>
      <c r="F9" s="36">
        <v>108114894.33133894</v>
      </c>
      <c r="G9" s="36">
        <v>36390423.595262654</v>
      </c>
    </row>
    <row r="10" spans="1:7">
      <c r="A10" s="19">
        <v>2034</v>
      </c>
      <c r="B10" s="30">
        <v>152116077591.18387</v>
      </c>
      <c r="C10" s="30">
        <v>167959565925.18301</v>
      </c>
      <c r="D10" s="30">
        <v>117592398782.09381</v>
      </c>
      <c r="E10" s="36">
        <v>57301421.760979988</v>
      </c>
      <c r="F10" s="36">
        <v>108332936.64073628</v>
      </c>
      <c r="G10" s="36">
        <v>31977525.773716539</v>
      </c>
    </row>
    <row r="11" spans="1:7">
      <c r="A11" s="19">
        <v>2035</v>
      </c>
      <c r="B11" s="30">
        <v>159427703858.92014</v>
      </c>
      <c r="C11" s="30">
        <v>179855501865.92096</v>
      </c>
      <c r="D11" s="30">
        <v>116138875851.12769</v>
      </c>
      <c r="E11" s="36">
        <v>53724189.362771064</v>
      </c>
      <c r="F11" s="36">
        <v>108536589.013331</v>
      </c>
      <c r="G11" s="36">
        <v>28099759.595593829</v>
      </c>
    </row>
    <row r="12" spans="1:7">
      <c r="A12" s="19">
        <v>2036</v>
      </c>
      <c r="B12" s="30">
        <v>166951689712.97995</v>
      </c>
      <c r="C12" s="30">
        <v>192707798902.25101</v>
      </c>
      <c r="D12" s="30">
        <v>113877302207.12317</v>
      </c>
      <c r="E12" s="36">
        <v>50370277.62987081</v>
      </c>
      <c r="F12" s="36">
        <v>108749863.77475452</v>
      </c>
      <c r="G12" s="36">
        <v>24692232.129452758</v>
      </c>
    </row>
    <row r="13" spans="1:7">
      <c r="A13" s="19">
        <v>2037</v>
      </c>
      <c r="B13" s="30">
        <v>174692982961.50452</v>
      </c>
      <c r="C13" s="30">
        <v>206580267189.64075</v>
      </c>
      <c r="D13" s="30">
        <v>110802633320.20638</v>
      </c>
      <c r="E13" s="36">
        <v>47225745.024799354</v>
      </c>
      <c r="F13" s="36">
        <v>108964178.46198653</v>
      </c>
      <c r="G13" s="36">
        <v>21697919.708550949</v>
      </c>
    </row>
    <row r="14" spans="1:7">
      <c r="A14" s="19">
        <v>2038</v>
      </c>
      <c r="B14" s="30">
        <v>182656572638.56812</v>
      </c>
      <c r="C14" s="30">
        <v>221540617738.28912</v>
      </c>
      <c r="D14" s="30">
        <v>106909685306.47787</v>
      </c>
      <c r="E14" s="36">
        <v>44277520.357059836</v>
      </c>
      <c r="F14" s="36">
        <v>109177695.10620022</v>
      </c>
      <c r="G14" s="36">
        <v>19066713.661627885</v>
      </c>
    </row>
    <row r="15" spans="1:7">
      <c r="A15" s="19">
        <v>2039</v>
      </c>
      <c r="B15" s="30">
        <v>190847483744.17093</v>
      </c>
      <c r="C15" s="30">
        <v>237660689157.80026</v>
      </c>
      <c r="D15" s="30">
        <v>102193133410.87706</v>
      </c>
      <c r="E15" s="36">
        <v>41513348.448824793</v>
      </c>
      <c r="F15" s="36">
        <v>109395032.98518732</v>
      </c>
      <c r="G15" s="36">
        <v>16754581.763487676</v>
      </c>
    </row>
    <row r="16" spans="1:7">
      <c r="A16" s="19">
        <v>2040</v>
      </c>
      <c r="B16" s="30">
        <v>199270771469.70956</v>
      </c>
      <c r="C16" s="30">
        <v>255016687161.28198</v>
      </c>
      <c r="D16" s="30">
        <v>96647510462.130859</v>
      </c>
      <c r="E16" s="36">
        <v>38921739.192623101</v>
      </c>
      <c r="F16" s="36">
        <v>109613421.21874829</v>
      </c>
      <c r="G16" s="36">
        <v>14722831.372578898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2"/>
  <sheetViews>
    <sheetView workbookViewId="0">
      <selection activeCell="J20" sqref="J20"/>
    </sheetView>
  </sheetViews>
  <sheetFormatPr defaultColWidth="12.625" defaultRowHeight="15" customHeight="1"/>
  <cols>
    <col min="1" max="1" width="8.875" customWidth="1"/>
    <col min="2" max="2" width="5" customWidth="1"/>
    <col min="3" max="3" width="4.625" customWidth="1"/>
    <col min="4" max="4" width="5" customWidth="1"/>
    <col min="5" max="5" width="7.875" customWidth="1"/>
    <col min="6" max="6" width="9.625" customWidth="1"/>
    <col min="7" max="8" width="8.875" customWidth="1"/>
    <col min="9" max="9" width="13.125" customWidth="1"/>
    <col min="10" max="10" width="19" customWidth="1"/>
    <col min="11" max="11" width="8.875" customWidth="1"/>
  </cols>
  <sheetData>
    <row r="1" spans="1:10" ht="15.75" customHeight="1">
      <c r="A1" s="53" t="s">
        <v>0</v>
      </c>
      <c r="B1" s="54"/>
      <c r="C1" s="54"/>
      <c r="D1" s="54"/>
      <c r="E1" s="54"/>
      <c r="F1" s="54"/>
    </row>
    <row r="2" spans="1:10" ht="30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I2" s="55" t="s">
        <v>7</v>
      </c>
      <c r="J2" s="56"/>
    </row>
    <row r="3" spans="1:10" ht="15.75" customHeight="1">
      <c r="A3" s="1" t="s">
        <v>8</v>
      </c>
      <c r="B3" s="2">
        <v>8.9700000000000006</v>
      </c>
      <c r="C3" s="2">
        <v>5.48</v>
      </c>
      <c r="D3" s="2">
        <v>9.27</v>
      </c>
      <c r="E3" s="2">
        <v>9.99</v>
      </c>
      <c r="F3" s="2">
        <v>18.899999999999999</v>
      </c>
      <c r="I3" s="3" t="s">
        <v>9</v>
      </c>
      <c r="J3" s="4">
        <f>AVERAGE(B96:B142)</f>
        <v>11.626595744680854</v>
      </c>
    </row>
    <row r="4" spans="1:10" ht="15.75" customHeight="1">
      <c r="A4" s="1" t="s">
        <v>10</v>
      </c>
      <c r="B4" s="2">
        <v>9.02</v>
      </c>
      <c r="C4" s="2">
        <v>5.46</v>
      </c>
      <c r="D4" s="2">
        <v>9.27</v>
      </c>
      <c r="E4" s="2">
        <v>9.73</v>
      </c>
      <c r="F4" s="2">
        <v>19.14</v>
      </c>
      <c r="I4" s="3" t="s">
        <v>3</v>
      </c>
      <c r="J4" s="4">
        <f>AVERAGE(C96:C142)</f>
        <v>8.0555319148936153</v>
      </c>
    </row>
    <row r="5" spans="1:10" ht="15.75" customHeight="1">
      <c r="A5" s="1" t="s">
        <v>11</v>
      </c>
      <c r="B5" s="2">
        <v>9.0399999999999991</v>
      </c>
      <c r="C5" s="2">
        <v>5.42</v>
      </c>
      <c r="D5" s="2">
        <v>9.1999999999999993</v>
      </c>
      <c r="E5" s="2">
        <v>9.82</v>
      </c>
      <c r="F5" s="2">
        <v>19.46</v>
      </c>
    </row>
    <row r="6" spans="1:10" ht="15.75" customHeight="1">
      <c r="A6" s="1" t="s">
        <v>12</v>
      </c>
      <c r="B6" s="2">
        <v>9.2100000000000009</v>
      </c>
      <c r="C6" s="2">
        <v>5.66</v>
      </c>
      <c r="D6" s="2">
        <v>9.5500000000000007</v>
      </c>
      <c r="E6" s="2">
        <v>10.51</v>
      </c>
      <c r="F6" s="2">
        <v>19.36</v>
      </c>
    </row>
    <row r="7" spans="1:10" ht="15.75" customHeight="1">
      <c r="A7" s="1" t="s">
        <v>13</v>
      </c>
      <c r="B7" s="2">
        <v>9.09</v>
      </c>
      <c r="C7" s="2">
        <v>5.53</v>
      </c>
      <c r="D7" s="2">
        <v>9.2799999999999994</v>
      </c>
      <c r="E7" s="2">
        <v>9.9</v>
      </c>
      <c r="F7" s="2">
        <v>19.05</v>
      </c>
    </row>
    <row r="8" spans="1:10" ht="15.75" customHeight="1">
      <c r="A8" s="1" t="s">
        <v>14</v>
      </c>
      <c r="B8" s="2">
        <v>9.17</v>
      </c>
      <c r="C8" s="2">
        <v>5.58</v>
      </c>
      <c r="D8" s="2">
        <v>9.3699999999999992</v>
      </c>
      <c r="E8" s="2">
        <v>10.07</v>
      </c>
      <c r="F8" s="2">
        <v>18.96</v>
      </c>
    </row>
    <row r="9" spans="1:10" ht="15.75" customHeight="1">
      <c r="A9" s="1" t="s">
        <v>15</v>
      </c>
      <c r="B9" s="2">
        <v>9.3000000000000007</v>
      </c>
      <c r="C9" s="2">
        <v>5.64</v>
      </c>
      <c r="D9" s="2">
        <v>9.6300000000000008</v>
      </c>
      <c r="E9" s="2">
        <v>11.48</v>
      </c>
      <c r="F9" s="2">
        <v>18.239999999999998</v>
      </c>
    </row>
    <row r="10" spans="1:10" ht="15.75" customHeight="1">
      <c r="A10" s="1" t="s">
        <v>16</v>
      </c>
      <c r="B10" s="2">
        <v>9.09</v>
      </c>
      <c r="C10" s="2">
        <v>5.49</v>
      </c>
      <c r="D10" s="2">
        <v>9.19</v>
      </c>
      <c r="E10" s="2">
        <v>9.94</v>
      </c>
      <c r="F10" s="2">
        <v>19.010000000000002</v>
      </c>
    </row>
    <row r="11" spans="1:10" ht="15.75" customHeight="1">
      <c r="A11" s="1" t="s">
        <v>17</v>
      </c>
      <c r="B11" s="2">
        <v>9.24</v>
      </c>
      <c r="C11" s="2">
        <v>5.59</v>
      </c>
      <c r="D11" s="2">
        <v>9.49</v>
      </c>
      <c r="E11" s="2">
        <v>10.41</v>
      </c>
      <c r="F11" s="2">
        <v>18.850000000000001</v>
      </c>
    </row>
    <row r="12" spans="1:10" ht="15.75" customHeight="1">
      <c r="A12" s="1" t="s">
        <v>18</v>
      </c>
      <c r="B12" s="2">
        <v>9.19</v>
      </c>
      <c r="C12" s="2">
        <v>5.62</v>
      </c>
      <c r="D12" s="2">
        <v>9.41</v>
      </c>
      <c r="E12" s="2">
        <v>10.32</v>
      </c>
      <c r="F12" s="2">
        <v>19.45</v>
      </c>
    </row>
    <row r="13" spans="1:10" ht="15.75" customHeight="1">
      <c r="A13" s="1" t="s">
        <v>19</v>
      </c>
      <c r="B13" s="2">
        <v>9.1199999999999992</v>
      </c>
      <c r="C13" s="2">
        <v>5.42</v>
      </c>
      <c r="D13" s="2">
        <v>9.1999999999999993</v>
      </c>
      <c r="E13" s="2">
        <v>11.09</v>
      </c>
      <c r="F13" s="2">
        <v>19.55</v>
      </c>
    </row>
    <row r="14" spans="1:10" ht="15.75" customHeight="1">
      <c r="A14" s="1" t="s">
        <v>20</v>
      </c>
      <c r="B14" s="2">
        <v>9.5500000000000007</v>
      </c>
      <c r="C14" s="2">
        <v>5.63</v>
      </c>
      <c r="D14" s="2">
        <v>10.19</v>
      </c>
      <c r="E14" s="2">
        <v>12.12</v>
      </c>
      <c r="F14" s="2">
        <v>20</v>
      </c>
    </row>
    <row r="15" spans="1:10" ht="15.75" customHeight="1">
      <c r="A15" s="1" t="s">
        <v>21</v>
      </c>
      <c r="B15" s="2">
        <v>9.48</v>
      </c>
      <c r="C15" s="2">
        <v>5.66</v>
      </c>
      <c r="D15" s="2">
        <v>10.16</v>
      </c>
      <c r="E15" s="2">
        <v>12.11</v>
      </c>
      <c r="F15" s="2">
        <v>19.690000000000001</v>
      </c>
    </row>
    <row r="16" spans="1:10" ht="15.75" customHeight="1">
      <c r="A16" s="1" t="s">
        <v>22</v>
      </c>
      <c r="B16" s="2">
        <v>10.029999999999999</v>
      </c>
      <c r="C16" s="2">
        <v>5.66</v>
      </c>
      <c r="D16" s="2">
        <v>10.72</v>
      </c>
      <c r="E16" s="2">
        <v>12.5</v>
      </c>
      <c r="F16" s="2">
        <v>20.29</v>
      </c>
    </row>
    <row r="17" spans="1:6" ht="15.75" customHeight="1">
      <c r="A17" s="1" t="s">
        <v>23</v>
      </c>
      <c r="B17" s="2">
        <v>10.83</v>
      </c>
      <c r="C17" s="2">
        <v>5.75</v>
      </c>
      <c r="D17" s="2">
        <v>11.61</v>
      </c>
      <c r="E17" s="2">
        <v>13.17</v>
      </c>
      <c r="F17" s="2">
        <v>20.54</v>
      </c>
    </row>
    <row r="18" spans="1:6" ht="15.75" customHeight="1">
      <c r="A18" s="1" t="s">
        <v>24</v>
      </c>
      <c r="B18" s="2">
        <v>11.08</v>
      </c>
      <c r="C18" s="2">
        <v>5.8</v>
      </c>
      <c r="D18" s="2">
        <v>12.14</v>
      </c>
      <c r="E18" s="2">
        <v>13.86</v>
      </c>
      <c r="F18" s="2">
        <v>20.7</v>
      </c>
    </row>
    <row r="19" spans="1:6" ht="15.75" customHeight="1">
      <c r="A19" s="1" t="s">
        <v>25</v>
      </c>
      <c r="B19" s="2">
        <v>10.73</v>
      </c>
      <c r="C19" s="2">
        <v>5.68</v>
      </c>
      <c r="D19" s="2">
        <v>11.89</v>
      </c>
      <c r="E19" s="2">
        <v>13.63</v>
      </c>
      <c r="F19" s="2">
        <v>20.78</v>
      </c>
    </row>
    <row r="20" spans="1:6" ht="15.75" customHeight="1">
      <c r="A20" s="1" t="s">
        <v>26</v>
      </c>
      <c r="B20" s="2">
        <v>12.11</v>
      </c>
      <c r="C20" s="2">
        <v>7.85</v>
      </c>
      <c r="D20" s="2">
        <v>12.52</v>
      </c>
      <c r="E20" s="2">
        <v>14.03</v>
      </c>
      <c r="F20" s="2">
        <v>22.25</v>
      </c>
    </row>
    <row r="21" spans="1:6" ht="15.75" customHeight="1">
      <c r="A21" s="1" t="s">
        <v>27</v>
      </c>
      <c r="B21" s="2">
        <v>12.05</v>
      </c>
      <c r="C21" s="2">
        <v>7.68</v>
      </c>
      <c r="D21" s="2">
        <v>12.54</v>
      </c>
      <c r="E21" s="2">
        <v>13.95</v>
      </c>
      <c r="F21" s="2">
        <v>23.12</v>
      </c>
    </row>
    <row r="22" spans="1:6" ht="15.75" customHeight="1">
      <c r="A22" s="1" t="s">
        <v>28</v>
      </c>
      <c r="B22" s="2">
        <v>11.65</v>
      </c>
      <c r="C22" s="2">
        <v>7.14</v>
      </c>
      <c r="D22" s="2">
        <v>12.03</v>
      </c>
      <c r="E22" s="2">
        <v>13.67</v>
      </c>
      <c r="F22" s="2">
        <v>22.87</v>
      </c>
    </row>
    <row r="23" spans="1:6" ht="15.75" customHeight="1">
      <c r="A23" s="1" t="s">
        <v>29</v>
      </c>
      <c r="B23" s="2">
        <v>12.29</v>
      </c>
      <c r="C23" s="2">
        <v>8.1300000000000008</v>
      </c>
      <c r="D23" s="2">
        <v>13.42</v>
      </c>
      <c r="E23" s="2">
        <v>15.17</v>
      </c>
      <c r="F23" s="2">
        <v>23.86</v>
      </c>
    </row>
    <row r="24" spans="1:6" ht="15.75" customHeight="1">
      <c r="A24" s="1" t="s">
        <v>30</v>
      </c>
      <c r="B24" s="2">
        <v>11.63</v>
      </c>
      <c r="C24" s="2">
        <v>7.26</v>
      </c>
      <c r="D24" s="2">
        <v>12.46</v>
      </c>
      <c r="E24" s="2">
        <v>14.32</v>
      </c>
      <c r="F24" s="2">
        <v>22.83</v>
      </c>
    </row>
    <row r="25" spans="1:6" ht="15.75" customHeight="1">
      <c r="A25" s="1" t="s">
        <v>31</v>
      </c>
      <c r="B25" s="2">
        <v>11.24</v>
      </c>
      <c r="C25" s="2">
        <v>7.09</v>
      </c>
      <c r="D25" s="2">
        <v>12.05</v>
      </c>
      <c r="E25" s="2">
        <v>13.94</v>
      </c>
      <c r="F25" s="2">
        <v>22.6</v>
      </c>
    </row>
    <row r="26" spans="1:6" ht="15.75" customHeight="1">
      <c r="A26" s="1" t="s">
        <v>32</v>
      </c>
      <c r="B26" s="2">
        <v>12.24</v>
      </c>
      <c r="C26" s="2">
        <v>8.5399999999999991</v>
      </c>
      <c r="D26" s="2">
        <v>13.95</v>
      </c>
      <c r="E26" s="2">
        <v>15.26</v>
      </c>
      <c r="F26" s="2">
        <v>23.66</v>
      </c>
    </row>
    <row r="27" spans="1:6" ht="15.75" customHeight="1">
      <c r="A27" s="1" t="s">
        <v>33</v>
      </c>
      <c r="B27" s="2">
        <v>11.51</v>
      </c>
      <c r="C27" s="2">
        <v>7.65</v>
      </c>
      <c r="D27" s="2">
        <v>13.06</v>
      </c>
      <c r="E27" s="2">
        <v>14.45</v>
      </c>
      <c r="F27" s="2">
        <v>23.39</v>
      </c>
    </row>
    <row r="28" spans="1:6" ht="15.75" customHeight="1">
      <c r="A28" s="1" t="s">
        <v>34</v>
      </c>
      <c r="B28" s="2">
        <v>11.68</v>
      </c>
      <c r="C28" s="2">
        <v>8.1300000000000008</v>
      </c>
      <c r="D28" s="2">
        <v>13.33</v>
      </c>
      <c r="E28" s="2">
        <v>14.71</v>
      </c>
      <c r="F28" s="2">
        <v>23.53</v>
      </c>
    </row>
    <row r="29" spans="1:6" ht="15.75" customHeight="1">
      <c r="A29" s="1" t="s">
        <v>35</v>
      </c>
      <c r="B29" s="2">
        <v>12.22</v>
      </c>
      <c r="C29" s="2">
        <v>8.6999999999999993</v>
      </c>
      <c r="D29" s="2">
        <v>14.1</v>
      </c>
      <c r="E29" s="2">
        <v>15.45</v>
      </c>
      <c r="F29" s="2">
        <v>23.04</v>
      </c>
    </row>
    <row r="30" spans="1:6" ht="15.75" customHeight="1">
      <c r="A30" s="1" t="s">
        <v>36</v>
      </c>
      <c r="B30" s="2">
        <v>11.95</v>
      </c>
      <c r="C30" s="2">
        <v>8.32</v>
      </c>
      <c r="D30" s="2">
        <v>13.63</v>
      </c>
      <c r="E30" s="2">
        <v>15.2</v>
      </c>
      <c r="F30" s="2">
        <v>23.26</v>
      </c>
    </row>
    <row r="31" spans="1:6" ht="15.75" customHeight="1">
      <c r="A31" s="1" t="s">
        <v>37</v>
      </c>
      <c r="B31" s="2">
        <v>12.96</v>
      </c>
      <c r="C31" s="2">
        <v>9.31</v>
      </c>
      <c r="D31" s="2">
        <v>14.6</v>
      </c>
      <c r="E31" s="2">
        <v>15.95</v>
      </c>
      <c r="F31" s="2">
        <v>24.69</v>
      </c>
    </row>
    <row r="32" spans="1:6" ht="15.75" customHeight="1">
      <c r="A32" s="1" t="s">
        <v>38</v>
      </c>
      <c r="B32" s="2">
        <v>12.5</v>
      </c>
      <c r="C32" s="2">
        <v>8.32</v>
      </c>
      <c r="D32" s="2">
        <v>13.47</v>
      </c>
      <c r="E32" s="2">
        <v>14.84</v>
      </c>
      <c r="F32" s="2">
        <v>23.24</v>
      </c>
    </row>
    <row r="33" spans="1:6" ht="15.75" customHeight="1">
      <c r="A33" s="1" t="s">
        <v>39</v>
      </c>
      <c r="B33" s="2">
        <v>12.58</v>
      </c>
      <c r="C33" s="2">
        <v>8.44</v>
      </c>
      <c r="D33" s="2">
        <v>13.45</v>
      </c>
      <c r="E33" s="2">
        <v>15.15</v>
      </c>
      <c r="F33" s="2">
        <v>23.67</v>
      </c>
    </row>
    <row r="34" spans="1:6" ht="15.75" customHeight="1">
      <c r="A34" s="1" t="s">
        <v>40</v>
      </c>
      <c r="B34" s="2">
        <v>12.83</v>
      </c>
      <c r="C34" s="2">
        <v>8.18</v>
      </c>
      <c r="D34" s="2">
        <v>13.54</v>
      </c>
      <c r="E34" s="2">
        <v>14.77</v>
      </c>
      <c r="F34" s="2">
        <v>23.73</v>
      </c>
    </row>
    <row r="35" spans="1:6" ht="15.75" customHeight="1">
      <c r="A35" s="1" t="s">
        <v>41</v>
      </c>
      <c r="B35" s="2">
        <v>13.18</v>
      </c>
      <c r="C35" s="2">
        <v>8.48</v>
      </c>
      <c r="D35" s="2">
        <v>13.82</v>
      </c>
      <c r="E35" s="2">
        <v>15.02</v>
      </c>
      <c r="F35" s="2">
        <v>23.5</v>
      </c>
    </row>
    <row r="36" spans="1:6" ht="15.75" customHeight="1">
      <c r="A36" s="1" t="s">
        <v>42</v>
      </c>
      <c r="B36" s="2">
        <v>12.95</v>
      </c>
      <c r="C36" s="2">
        <v>8.3699999999999992</v>
      </c>
      <c r="D36" s="2">
        <v>13.62</v>
      </c>
      <c r="E36" s="2">
        <v>14.74</v>
      </c>
      <c r="F36" s="2">
        <v>23.61</v>
      </c>
    </row>
    <row r="37" spans="1:6" ht="15.75" customHeight="1">
      <c r="A37" s="1" t="s">
        <v>43</v>
      </c>
      <c r="B37" s="2">
        <v>11.26</v>
      </c>
      <c r="C37" s="2">
        <v>6.79</v>
      </c>
      <c r="D37" s="2">
        <v>11.77</v>
      </c>
      <c r="E37" s="2">
        <v>13.2</v>
      </c>
      <c r="F37" s="2">
        <v>22.78</v>
      </c>
    </row>
    <row r="38" spans="1:6" ht="15.75" customHeight="1">
      <c r="A38" s="1" t="s">
        <v>44</v>
      </c>
      <c r="B38" s="2">
        <v>12.57</v>
      </c>
      <c r="C38" s="2">
        <v>7.95</v>
      </c>
      <c r="D38" s="2">
        <v>12.98</v>
      </c>
      <c r="E38" s="2">
        <v>14.49</v>
      </c>
      <c r="F38" s="2">
        <v>22.96</v>
      </c>
    </row>
    <row r="39" spans="1:6" ht="15.75" customHeight="1">
      <c r="A39" s="1" t="s">
        <v>45</v>
      </c>
      <c r="B39" s="2">
        <v>10.72</v>
      </c>
      <c r="C39" s="2">
        <v>6.18</v>
      </c>
      <c r="D39" s="2">
        <v>11.26</v>
      </c>
      <c r="E39" s="2">
        <v>12.67</v>
      </c>
      <c r="F39" s="2">
        <v>21.71</v>
      </c>
    </row>
    <row r="40" spans="1:6" ht="15.75" customHeight="1">
      <c r="A40" s="1" t="s">
        <v>46</v>
      </c>
      <c r="B40" s="2">
        <v>11.67</v>
      </c>
      <c r="C40" s="2">
        <v>7.08</v>
      </c>
      <c r="D40" s="2">
        <v>12.11</v>
      </c>
      <c r="E40" s="2">
        <v>13.61</v>
      </c>
      <c r="F40" s="2">
        <v>21.64</v>
      </c>
    </row>
    <row r="41" spans="1:6" ht="15.75" customHeight="1">
      <c r="A41" s="1" t="s">
        <v>47</v>
      </c>
      <c r="B41" s="2">
        <v>11.41</v>
      </c>
      <c r="C41" s="2">
        <v>6.87</v>
      </c>
      <c r="D41" s="2">
        <v>11.8</v>
      </c>
      <c r="E41" s="2">
        <v>13.43</v>
      </c>
      <c r="F41" s="2">
        <v>20.190000000000001</v>
      </c>
    </row>
    <row r="42" spans="1:6" ht="15.75" customHeight="1">
      <c r="A42" s="1" t="s">
        <v>48</v>
      </c>
      <c r="B42" s="2">
        <v>11.51</v>
      </c>
      <c r="C42" s="2">
        <v>6.95</v>
      </c>
      <c r="D42" s="2">
        <v>11.9</v>
      </c>
      <c r="E42" s="2">
        <v>13.31</v>
      </c>
      <c r="F42" s="2">
        <v>19.23</v>
      </c>
    </row>
    <row r="43" spans="1:6" ht="15.75" customHeight="1">
      <c r="A43" s="1" t="s">
        <v>49</v>
      </c>
      <c r="B43" s="2">
        <v>11.18</v>
      </c>
      <c r="C43" s="2">
        <v>6.74</v>
      </c>
      <c r="D43" s="2">
        <v>11.1</v>
      </c>
      <c r="E43" s="2">
        <v>13</v>
      </c>
      <c r="F43" s="2">
        <v>19.96</v>
      </c>
    </row>
    <row r="44" spans="1:6" ht="15.75" customHeight="1">
      <c r="A44" s="1" t="s">
        <v>50</v>
      </c>
      <c r="B44" s="2">
        <v>10.38</v>
      </c>
      <c r="C44" s="2">
        <v>6.15</v>
      </c>
      <c r="D44" s="2">
        <v>10.35</v>
      </c>
      <c r="E44" s="2">
        <v>12.25</v>
      </c>
      <c r="F44" s="2">
        <v>19.12</v>
      </c>
    </row>
    <row r="45" spans="1:6" ht="15.75" customHeight="1">
      <c r="A45" s="1" t="s">
        <v>51</v>
      </c>
      <c r="B45" s="2">
        <v>10.27</v>
      </c>
      <c r="C45" s="2">
        <v>5.97</v>
      </c>
      <c r="D45" s="2">
        <v>10.3</v>
      </c>
      <c r="E45" s="2">
        <v>12.25</v>
      </c>
      <c r="F45" s="2">
        <v>18.399999999999999</v>
      </c>
    </row>
    <row r="46" spans="1:6" ht="15.75" customHeight="1">
      <c r="A46" s="1" t="s">
        <v>52</v>
      </c>
      <c r="B46" s="2">
        <v>9.8699999999999992</v>
      </c>
      <c r="C46" s="2">
        <v>5.87</v>
      </c>
      <c r="D46" s="2">
        <v>10.050000000000001</v>
      </c>
      <c r="E46" s="2">
        <v>12.39</v>
      </c>
      <c r="F46" s="2">
        <v>18.059999999999999</v>
      </c>
    </row>
    <row r="47" spans="1:6" ht="15.75" customHeight="1">
      <c r="A47" s="1" t="s">
        <v>53</v>
      </c>
      <c r="B47" s="2">
        <v>9.82</v>
      </c>
      <c r="C47" s="2">
        <v>5.82</v>
      </c>
      <c r="D47" s="2">
        <v>9.8800000000000008</v>
      </c>
      <c r="E47" s="2">
        <v>12.4</v>
      </c>
      <c r="F47" s="2">
        <v>17.96</v>
      </c>
    </row>
    <row r="48" spans="1:6" ht="15.75" customHeight="1">
      <c r="A48" s="1" t="s">
        <v>54</v>
      </c>
      <c r="B48" s="2">
        <v>9.85</v>
      </c>
      <c r="C48" s="2">
        <v>5.95</v>
      </c>
      <c r="D48" s="2">
        <v>9.83</v>
      </c>
      <c r="E48" s="2">
        <v>12.36</v>
      </c>
      <c r="F48" s="2">
        <v>17.77</v>
      </c>
    </row>
    <row r="49" spans="1:6" ht="15.75" customHeight="1">
      <c r="A49" s="1" t="s">
        <v>55</v>
      </c>
      <c r="B49" s="2">
        <v>9.85</v>
      </c>
      <c r="C49" s="2">
        <v>6.03</v>
      </c>
      <c r="D49" s="2">
        <v>9.86</v>
      </c>
      <c r="E49" s="2">
        <v>12.48</v>
      </c>
      <c r="F49" s="2">
        <v>17.489999999999998</v>
      </c>
    </row>
    <row r="50" spans="1:6" ht="15.75" customHeight="1">
      <c r="A50" s="1" t="s">
        <v>56</v>
      </c>
      <c r="B50" s="2">
        <v>9.81</v>
      </c>
      <c r="C50" s="2">
        <v>5.99</v>
      </c>
      <c r="D50" s="2">
        <v>9.86</v>
      </c>
      <c r="E50" s="2">
        <v>12</v>
      </c>
      <c r="F50" s="2">
        <v>17.61</v>
      </c>
    </row>
    <row r="51" spans="1:6" ht="15.75" customHeight="1">
      <c r="A51" s="1" t="s">
        <v>57</v>
      </c>
      <c r="B51" s="2">
        <v>9.67</v>
      </c>
      <c r="C51" s="2">
        <v>5.97</v>
      </c>
      <c r="D51" s="2">
        <v>9.73</v>
      </c>
      <c r="E51" s="2">
        <v>12.13</v>
      </c>
      <c r="F51" s="2">
        <v>17.510000000000002</v>
      </c>
    </row>
    <row r="52" spans="1:6" ht="15.75" customHeight="1">
      <c r="A52" s="1" t="s">
        <v>58</v>
      </c>
      <c r="B52" s="2">
        <v>9.5399999999999991</v>
      </c>
      <c r="C52" s="2">
        <v>5.97</v>
      </c>
      <c r="D52" s="2">
        <v>9.59</v>
      </c>
      <c r="E52" s="2">
        <v>11.82</v>
      </c>
      <c r="F52" s="2">
        <v>17.29</v>
      </c>
    </row>
    <row r="53" spans="1:6" ht="15.75" customHeight="1">
      <c r="A53" s="1" t="s">
        <v>59</v>
      </c>
      <c r="B53" s="2">
        <v>9.4700000000000006</v>
      </c>
      <c r="C53" s="2">
        <v>5.99</v>
      </c>
      <c r="D53" s="2">
        <v>9.48</v>
      </c>
      <c r="E53" s="2">
        <v>11.62</v>
      </c>
      <c r="F53" s="2">
        <v>17.37</v>
      </c>
    </row>
    <row r="54" spans="1:6" ht="15.75" customHeight="1">
      <c r="A54" s="1" t="s">
        <v>60</v>
      </c>
      <c r="B54" s="2">
        <v>9.42</v>
      </c>
      <c r="C54" s="2">
        <v>6.03</v>
      </c>
      <c r="D54" s="2">
        <v>9.5299999999999994</v>
      </c>
      <c r="E54" s="2">
        <v>11.77</v>
      </c>
      <c r="F54" s="2">
        <v>17.510000000000002</v>
      </c>
    </row>
    <row r="55" spans="1:6" ht="15.75" customHeight="1">
      <c r="A55" s="1" t="s">
        <v>61</v>
      </c>
      <c r="B55" s="2">
        <v>9.4</v>
      </c>
      <c r="C55" s="2">
        <v>6.01</v>
      </c>
      <c r="D55" s="2">
        <v>9.31</v>
      </c>
      <c r="E55" s="2">
        <v>12.03</v>
      </c>
      <c r="F55" s="2">
        <v>17.55</v>
      </c>
    </row>
    <row r="56" spans="1:6" ht="15.75" customHeight="1">
      <c r="A56" s="1" t="s">
        <v>62</v>
      </c>
      <c r="B56" s="2">
        <v>9.33</v>
      </c>
      <c r="C56" s="2">
        <v>5.99</v>
      </c>
      <c r="D56" s="2">
        <v>9.24</v>
      </c>
      <c r="E56" s="2">
        <v>11.93</v>
      </c>
      <c r="F56" s="2">
        <v>17.809999999999999</v>
      </c>
    </row>
    <row r="57" spans="1:6" ht="15.75" customHeight="1">
      <c r="A57" s="1" t="s">
        <v>63</v>
      </c>
      <c r="B57" s="2">
        <v>9.34</v>
      </c>
      <c r="C57" s="2">
        <v>5.98</v>
      </c>
      <c r="D57" s="2">
        <v>9.1300000000000008</v>
      </c>
      <c r="E57" s="2">
        <v>11.75</v>
      </c>
      <c r="F57" s="2">
        <v>17.809999999999999</v>
      </c>
    </row>
    <row r="58" spans="1:6" ht="15.75" customHeight="1">
      <c r="A58" s="1" t="s">
        <v>64</v>
      </c>
      <c r="B58" s="2">
        <v>9.33</v>
      </c>
      <c r="C58" s="2">
        <v>6.15</v>
      </c>
      <c r="D58" s="2">
        <v>9.18</v>
      </c>
      <c r="E58" s="2">
        <v>10.17</v>
      </c>
      <c r="F58" s="2">
        <v>18.02</v>
      </c>
    </row>
    <row r="59" spans="1:6" ht="15.75" customHeight="1">
      <c r="A59" s="1" t="s">
        <v>65</v>
      </c>
      <c r="B59" s="2">
        <v>9.34</v>
      </c>
      <c r="C59" s="2">
        <v>6.12</v>
      </c>
      <c r="D59" s="2">
        <v>9.2200000000000006</v>
      </c>
      <c r="E59" s="2">
        <v>10.33</v>
      </c>
      <c r="F59" s="2">
        <v>17.64</v>
      </c>
    </row>
    <row r="60" spans="1:6" ht="15.75" customHeight="1">
      <c r="A60" s="1" t="s">
        <v>66</v>
      </c>
      <c r="B60" s="2">
        <v>9.27</v>
      </c>
      <c r="C60" s="2">
        <v>6.29</v>
      </c>
      <c r="D60" s="2">
        <v>9.35</v>
      </c>
      <c r="E60" s="2">
        <v>10.8</v>
      </c>
      <c r="F60" s="2">
        <v>17.760000000000002</v>
      </c>
    </row>
    <row r="61" spans="1:6" ht="15.75" customHeight="1">
      <c r="A61" s="1" t="s">
        <v>67</v>
      </c>
      <c r="B61" s="2">
        <v>9.25</v>
      </c>
      <c r="C61" s="2">
        <v>6.06</v>
      </c>
      <c r="D61" s="2">
        <v>9.0299999999999994</v>
      </c>
      <c r="E61" s="2">
        <v>11.35</v>
      </c>
      <c r="F61" s="2">
        <v>17.43</v>
      </c>
    </row>
    <row r="62" spans="1:6" ht="15.75" customHeight="1">
      <c r="A62" s="1" t="s">
        <v>68</v>
      </c>
      <c r="B62" s="2">
        <v>9.33</v>
      </c>
      <c r="C62" s="2">
        <v>6.09</v>
      </c>
      <c r="D62" s="2">
        <v>8.8699999999999992</v>
      </c>
      <c r="E62" s="2">
        <v>10.47</v>
      </c>
      <c r="F62" s="2">
        <v>17.309999999999999</v>
      </c>
    </row>
    <row r="63" spans="1:6" ht="15.75" customHeight="1">
      <c r="A63" s="1" t="s">
        <v>69</v>
      </c>
      <c r="B63" s="2">
        <v>9.2799999999999994</v>
      </c>
      <c r="C63" s="2">
        <v>6.19</v>
      </c>
      <c r="D63" s="2">
        <v>8.76</v>
      </c>
      <c r="E63" s="2">
        <v>9.43</v>
      </c>
      <c r="F63" s="2">
        <v>17.63</v>
      </c>
    </row>
    <row r="64" spans="1:6" ht="15.75" customHeight="1">
      <c r="A64" s="1" t="s">
        <v>70</v>
      </c>
      <c r="B64" s="2">
        <v>9.2899999999999991</v>
      </c>
      <c r="C64" s="2">
        <v>6.18</v>
      </c>
      <c r="D64" s="2">
        <v>8.8000000000000007</v>
      </c>
      <c r="E64" s="2">
        <v>9.4499999999999993</v>
      </c>
      <c r="F64" s="2">
        <v>16.940000000000001</v>
      </c>
    </row>
    <row r="65" spans="1:6" ht="15.75" customHeight="1">
      <c r="A65" s="1" t="s">
        <v>71</v>
      </c>
      <c r="B65" s="2">
        <v>9.2200000000000006</v>
      </c>
      <c r="C65" s="2">
        <v>6.12</v>
      </c>
      <c r="D65" s="2">
        <v>8.77</v>
      </c>
      <c r="E65" s="2">
        <v>9.4</v>
      </c>
      <c r="F65" s="2">
        <v>16.62</v>
      </c>
    </row>
    <row r="66" spans="1:6" ht="15.75" customHeight="1">
      <c r="A66" s="1" t="s">
        <v>72</v>
      </c>
      <c r="B66" s="2">
        <v>9.0299999999999994</v>
      </c>
      <c r="C66" s="2">
        <v>6.15</v>
      </c>
      <c r="D66" s="2">
        <v>8.5399999999999991</v>
      </c>
      <c r="E66" s="2">
        <v>9.59</v>
      </c>
      <c r="F66" s="2">
        <v>16.39</v>
      </c>
    </row>
    <row r="67" spans="1:6" ht="15.75" customHeight="1">
      <c r="A67" s="1" t="s">
        <v>73</v>
      </c>
      <c r="B67" s="2">
        <v>8.89</v>
      </c>
      <c r="C67" s="2">
        <v>7.29</v>
      </c>
      <c r="D67" s="2">
        <v>8.44</v>
      </c>
      <c r="E67" s="2">
        <v>10.49</v>
      </c>
      <c r="F67" s="2">
        <v>16.149999999999999</v>
      </c>
    </row>
    <row r="68" spans="1:6" ht="15.75" customHeight="1">
      <c r="A68" s="1" t="s">
        <v>74</v>
      </c>
      <c r="B68" s="2">
        <v>8.76</v>
      </c>
      <c r="C68" s="2">
        <v>6.14</v>
      </c>
      <c r="D68" s="2">
        <v>8.35</v>
      </c>
      <c r="E68" s="2">
        <v>10.97</v>
      </c>
      <c r="F68" s="2">
        <v>15.95</v>
      </c>
    </row>
    <row r="69" spans="1:6" ht="15.75" customHeight="1">
      <c r="A69" s="1" t="s">
        <v>75</v>
      </c>
      <c r="B69" s="2">
        <v>8.4700000000000006</v>
      </c>
      <c r="C69" s="2">
        <v>6.04</v>
      </c>
      <c r="D69" s="2">
        <v>7.92</v>
      </c>
      <c r="E69" s="2">
        <v>10.45</v>
      </c>
      <c r="F69" s="2">
        <v>15.51</v>
      </c>
    </row>
    <row r="70" spans="1:6" ht="15.75" customHeight="1">
      <c r="A70" s="1" t="s">
        <v>76</v>
      </c>
      <c r="B70" s="2">
        <v>8.25</v>
      </c>
      <c r="C70" s="2">
        <v>6.09</v>
      </c>
      <c r="D70" s="2">
        <v>7.85</v>
      </c>
      <c r="E70" s="2">
        <v>10.26</v>
      </c>
      <c r="F70" s="2">
        <v>15.43</v>
      </c>
    </row>
    <row r="71" spans="1:6" ht="15.75" customHeight="1">
      <c r="A71" s="1" t="s">
        <v>77</v>
      </c>
      <c r="B71" s="2">
        <v>8.32</v>
      </c>
      <c r="C71" s="2">
        <v>6.08</v>
      </c>
      <c r="D71" s="2">
        <v>7.7</v>
      </c>
      <c r="E71" s="2">
        <v>10.72</v>
      </c>
      <c r="F71" s="2">
        <v>15.28</v>
      </c>
    </row>
    <row r="72" spans="1:6" ht="15.75" customHeight="1">
      <c r="A72" s="1" t="s">
        <v>78</v>
      </c>
      <c r="B72" s="2">
        <v>8.17</v>
      </c>
      <c r="C72" s="2">
        <v>6.24</v>
      </c>
      <c r="D72" s="2">
        <v>7.68</v>
      </c>
      <c r="E72" s="2">
        <v>10.14</v>
      </c>
      <c r="F72" s="2">
        <v>14.76</v>
      </c>
    </row>
    <row r="73" spans="1:6" ht="15.75" customHeight="1">
      <c r="A73" s="1" t="s">
        <v>79</v>
      </c>
      <c r="B73" s="2">
        <v>8.15</v>
      </c>
      <c r="C73" s="2">
        <v>6.23</v>
      </c>
      <c r="D73" s="2">
        <v>7.58</v>
      </c>
      <c r="E73" s="2">
        <v>10.17</v>
      </c>
      <c r="F73" s="2">
        <v>14.63</v>
      </c>
    </row>
    <row r="74" spans="1:6" ht="15.75" customHeight="1">
      <c r="A74" s="1" t="s">
        <v>80</v>
      </c>
      <c r="B74" s="2">
        <v>7.98</v>
      </c>
      <c r="C74" s="2">
        <v>6.04</v>
      </c>
      <c r="D74" s="2">
        <v>7.52</v>
      </c>
      <c r="E74" s="2">
        <v>10.35</v>
      </c>
      <c r="F74" s="2">
        <v>14.31</v>
      </c>
    </row>
    <row r="75" spans="1:6" ht="15.75" customHeight="1">
      <c r="A75" s="1" t="s">
        <v>81</v>
      </c>
      <c r="B75" s="2">
        <v>7.84</v>
      </c>
      <c r="C75" s="2">
        <v>6.12</v>
      </c>
      <c r="D75" s="2">
        <v>7.55</v>
      </c>
      <c r="E75" s="2">
        <v>10.32</v>
      </c>
      <c r="F75" s="2">
        <v>14.69</v>
      </c>
    </row>
    <row r="76" spans="1:6" ht="15.75" customHeight="1">
      <c r="A76" s="1" t="s">
        <v>82</v>
      </c>
      <c r="B76" s="2">
        <v>7.93</v>
      </c>
      <c r="C76" s="2">
        <v>6.09</v>
      </c>
      <c r="D76" s="2">
        <v>7.48</v>
      </c>
      <c r="E76" s="2">
        <v>10.15</v>
      </c>
      <c r="F76" s="2">
        <v>15.44</v>
      </c>
    </row>
    <row r="77" spans="1:6" ht="15.75" customHeight="1">
      <c r="A77" s="1" t="s">
        <v>83</v>
      </c>
      <c r="B77" s="2">
        <v>7.86</v>
      </c>
      <c r="C77" s="2">
        <v>6.11</v>
      </c>
      <c r="D77" s="2">
        <v>7.48</v>
      </c>
      <c r="E77" s="2">
        <v>9.57</v>
      </c>
      <c r="F77" s="2">
        <v>14.62</v>
      </c>
    </row>
    <row r="78" spans="1:6" ht="15.75" customHeight="1">
      <c r="A78" s="1" t="s">
        <v>84</v>
      </c>
      <c r="B78" s="2">
        <v>7.71</v>
      </c>
      <c r="C78" s="2">
        <v>6.12</v>
      </c>
      <c r="D78" s="2">
        <v>7.37</v>
      </c>
      <c r="E78" s="2">
        <v>9.8699999999999992</v>
      </c>
      <c r="F78" s="2">
        <v>14.13</v>
      </c>
    </row>
    <row r="79" spans="1:6" ht="15.75" customHeight="1">
      <c r="A79" s="1" t="s">
        <v>85</v>
      </c>
      <c r="B79" s="2">
        <v>7.64</v>
      </c>
      <c r="C79" s="2">
        <v>6.14</v>
      </c>
      <c r="D79" s="2">
        <v>7.31</v>
      </c>
      <c r="E79" s="2">
        <v>9.5399999999999991</v>
      </c>
      <c r="F79" s="2">
        <v>14.2</v>
      </c>
    </row>
    <row r="80" spans="1:6" ht="15.75" customHeight="1">
      <c r="A80" s="1" t="s">
        <v>86</v>
      </c>
      <c r="B80" s="2">
        <v>7.67</v>
      </c>
      <c r="C80" s="2">
        <v>6.13</v>
      </c>
      <c r="D80" s="2">
        <v>7.4</v>
      </c>
      <c r="E80" s="2">
        <v>9.43</v>
      </c>
      <c r="F80" s="2">
        <v>13.22</v>
      </c>
    </row>
    <row r="81" spans="1:6" ht="15.75" customHeight="1">
      <c r="A81" s="1" t="s">
        <v>87</v>
      </c>
      <c r="B81" s="2">
        <v>7.64</v>
      </c>
      <c r="C81" s="2">
        <v>6.1</v>
      </c>
      <c r="D81" s="2">
        <v>7.49</v>
      </c>
      <c r="E81" s="2">
        <v>9.5399999999999991</v>
      </c>
      <c r="F81" s="2">
        <v>13.17</v>
      </c>
    </row>
    <row r="82" spans="1:6" ht="15.75" customHeight="1">
      <c r="A82" s="1" t="s">
        <v>88</v>
      </c>
      <c r="B82" s="2">
        <v>7.69</v>
      </c>
      <c r="C82" s="2">
        <v>6.07</v>
      </c>
      <c r="D82" s="2">
        <v>7.45</v>
      </c>
      <c r="E82" s="2">
        <v>9.65</v>
      </c>
      <c r="F82" s="2">
        <v>12.33</v>
      </c>
    </row>
    <row r="83" spans="1:6" ht="15.75" customHeight="1">
      <c r="A83" s="1" t="s">
        <v>89</v>
      </c>
      <c r="B83" s="2">
        <v>7.71</v>
      </c>
      <c r="C83" s="2">
        <v>6.03</v>
      </c>
      <c r="D83" s="2">
        <v>7.52</v>
      </c>
      <c r="E83" s="2">
        <v>9.6199999999999992</v>
      </c>
      <c r="F83" s="2">
        <v>12.04</v>
      </c>
    </row>
    <row r="84" spans="1:6" ht="15.75" customHeight="1">
      <c r="A84" s="1" t="s">
        <v>90</v>
      </c>
      <c r="B84" s="2">
        <v>7.46</v>
      </c>
      <c r="C84" s="2">
        <v>6</v>
      </c>
      <c r="D84" s="2">
        <v>7.34</v>
      </c>
      <c r="E84" s="2">
        <v>10.3</v>
      </c>
      <c r="F84" s="2">
        <v>12.64</v>
      </c>
    </row>
    <row r="85" spans="1:6" ht="15.75" customHeight="1">
      <c r="A85" s="1" t="s">
        <v>91</v>
      </c>
      <c r="B85" s="2">
        <v>7.52</v>
      </c>
      <c r="C85" s="2">
        <v>6.04</v>
      </c>
      <c r="D85" s="2">
        <v>7.35</v>
      </c>
      <c r="E85" s="2">
        <v>9.65</v>
      </c>
      <c r="F85" s="2">
        <v>12.44</v>
      </c>
    </row>
    <row r="86" spans="1:6" ht="15.75" customHeight="1">
      <c r="A86" s="1" t="s">
        <v>92</v>
      </c>
      <c r="B86" s="2">
        <v>7.4</v>
      </c>
      <c r="C86" s="2">
        <v>6.01</v>
      </c>
      <c r="D86" s="2">
        <v>7.25</v>
      </c>
      <c r="E86" s="2">
        <v>10.130000000000001</v>
      </c>
      <c r="F86" s="2">
        <v>12.71</v>
      </c>
    </row>
    <row r="87" spans="1:6" ht="15.75" customHeight="1">
      <c r="A87" s="1" t="s">
        <v>93</v>
      </c>
      <c r="B87" s="2">
        <v>7.14</v>
      </c>
      <c r="C87" s="2">
        <v>5.99</v>
      </c>
      <c r="D87" s="2">
        <v>7.23</v>
      </c>
      <c r="E87" s="2">
        <v>9.6300000000000008</v>
      </c>
      <c r="F87" s="2">
        <v>12.84</v>
      </c>
    </row>
    <row r="88" spans="1:6" ht="15.75" customHeight="1">
      <c r="A88" s="1" t="s">
        <v>94</v>
      </c>
      <c r="B88" s="2">
        <v>7.15</v>
      </c>
      <c r="C88" s="2">
        <v>6.07</v>
      </c>
      <c r="D88" s="2">
        <v>7.21</v>
      </c>
      <c r="E88" s="2">
        <v>9.16</v>
      </c>
      <c r="F88" s="2">
        <v>13.09</v>
      </c>
    </row>
    <row r="89" spans="1:6" ht="15.75" customHeight="1">
      <c r="A89" s="1" t="s">
        <v>95</v>
      </c>
      <c r="B89" s="2">
        <v>7.13</v>
      </c>
      <c r="C89" s="2">
        <v>6.05</v>
      </c>
      <c r="D89" s="2">
        <v>7.16</v>
      </c>
      <c r="E89" s="2">
        <v>9.5</v>
      </c>
      <c r="F89" s="2">
        <v>13.06</v>
      </c>
    </row>
    <row r="90" spans="1:6" ht="15.75" customHeight="1">
      <c r="A90" s="1" t="s">
        <v>96</v>
      </c>
      <c r="B90" s="2">
        <v>7.17</v>
      </c>
      <c r="C90" s="2">
        <v>6.05</v>
      </c>
      <c r="D90" s="2">
        <v>7.17</v>
      </c>
      <c r="E90" s="2">
        <v>9.5</v>
      </c>
      <c r="F90" s="2">
        <v>13.34</v>
      </c>
    </row>
    <row r="91" spans="1:6" ht="15.75" customHeight="1">
      <c r="A91" s="1" t="s">
        <v>97</v>
      </c>
      <c r="B91" s="2">
        <v>7.31</v>
      </c>
      <c r="C91" s="2">
        <v>6.08</v>
      </c>
      <c r="D91" s="2">
        <v>7.27</v>
      </c>
      <c r="E91" s="2">
        <v>10.11</v>
      </c>
      <c r="F91" s="2">
        <v>13.67</v>
      </c>
    </row>
    <row r="92" spans="1:6" ht="15.75" customHeight="1">
      <c r="A92" s="1" t="s">
        <v>98</v>
      </c>
      <c r="B92" s="2">
        <v>7.53</v>
      </c>
      <c r="C92" s="2">
        <v>6.11</v>
      </c>
      <c r="D92" s="2">
        <v>7.5</v>
      </c>
      <c r="E92" s="2">
        <v>9.41</v>
      </c>
      <c r="F92" s="2">
        <v>13.83</v>
      </c>
    </row>
    <row r="93" spans="1:6" ht="15.75" customHeight="1">
      <c r="A93" s="1" t="s">
        <v>99</v>
      </c>
      <c r="B93" s="2">
        <v>7.82</v>
      </c>
      <c r="C93" s="2">
        <v>6.09</v>
      </c>
      <c r="D93" s="2">
        <v>7.73</v>
      </c>
      <c r="E93" s="2">
        <v>9.27</v>
      </c>
      <c r="F93" s="2">
        <v>13.94</v>
      </c>
    </row>
    <row r="94" spans="1:6" ht="15.75" customHeight="1">
      <c r="A94" s="1" t="s">
        <v>100</v>
      </c>
      <c r="B94" s="2">
        <v>8.1199999999999992</v>
      </c>
      <c r="C94" s="2">
        <v>6</v>
      </c>
      <c r="D94" s="2">
        <v>8.08</v>
      </c>
      <c r="E94" s="2">
        <v>9.66</v>
      </c>
      <c r="F94" s="2">
        <v>14.97</v>
      </c>
    </row>
    <row r="95" spans="1:6" ht="15.75" customHeight="1">
      <c r="A95" s="1" t="s">
        <v>101</v>
      </c>
      <c r="B95" s="2">
        <v>9.17</v>
      </c>
      <c r="C95" s="2">
        <v>6.61</v>
      </c>
      <c r="D95" s="2">
        <v>9.01</v>
      </c>
      <c r="E95" s="2">
        <v>10.07</v>
      </c>
      <c r="F95" s="2">
        <v>15.27</v>
      </c>
    </row>
    <row r="96" spans="1:6" ht="15.75" customHeight="1">
      <c r="A96" s="1" t="s">
        <v>102</v>
      </c>
      <c r="B96" s="2">
        <v>9.59</v>
      </c>
      <c r="C96" s="2">
        <v>6.87</v>
      </c>
      <c r="D96" s="2">
        <v>9.51</v>
      </c>
      <c r="E96" s="2">
        <v>10.78</v>
      </c>
      <c r="F96" s="2">
        <v>18.91</v>
      </c>
    </row>
    <row r="97" spans="1:6" ht="15.75" customHeight="1">
      <c r="A97" s="1" t="s">
        <v>103</v>
      </c>
      <c r="B97" s="2">
        <v>8.9700000000000006</v>
      </c>
      <c r="C97" s="2">
        <v>6.18</v>
      </c>
      <c r="D97" s="2">
        <v>8.92</v>
      </c>
      <c r="E97" s="2">
        <v>10.08</v>
      </c>
      <c r="F97" s="2">
        <v>14.59</v>
      </c>
    </row>
    <row r="98" spans="1:6" ht="15.75" customHeight="1">
      <c r="A98" s="1" t="s">
        <v>104</v>
      </c>
      <c r="B98" s="2">
        <v>10.210000000000001</v>
      </c>
      <c r="C98" s="2">
        <v>7.48</v>
      </c>
      <c r="D98" s="2">
        <v>10.15</v>
      </c>
      <c r="E98" s="2">
        <v>11.23</v>
      </c>
      <c r="F98" s="2">
        <v>16.809999999999999</v>
      </c>
    </row>
    <row r="99" spans="1:6" ht="15.75" customHeight="1">
      <c r="A99" s="1" t="s">
        <v>105</v>
      </c>
      <c r="B99" s="2">
        <v>9.8699999999999992</v>
      </c>
      <c r="C99" s="2">
        <v>7.14</v>
      </c>
      <c r="D99" s="2">
        <v>9.8699999999999992</v>
      </c>
      <c r="E99" s="2">
        <v>11</v>
      </c>
      <c r="F99" s="2">
        <v>16.96</v>
      </c>
    </row>
    <row r="100" spans="1:6" ht="15.75" customHeight="1">
      <c r="A100" s="1" t="s">
        <v>106</v>
      </c>
      <c r="B100" s="2">
        <v>11.15</v>
      </c>
      <c r="C100" s="2">
        <v>8.2899999999999991</v>
      </c>
      <c r="D100" s="2">
        <v>11.15</v>
      </c>
      <c r="E100" s="2">
        <v>12.15</v>
      </c>
      <c r="F100" s="2">
        <v>17.149999999999999</v>
      </c>
    </row>
    <row r="101" spans="1:6" ht="15.75" customHeight="1">
      <c r="A101" s="1" t="s">
        <v>107</v>
      </c>
      <c r="B101" s="2">
        <v>11</v>
      </c>
      <c r="C101" s="2">
        <v>8.14</v>
      </c>
      <c r="D101" s="2">
        <v>11.04</v>
      </c>
      <c r="E101" s="2">
        <v>11.72</v>
      </c>
      <c r="F101" s="2">
        <v>17.170000000000002</v>
      </c>
    </row>
    <row r="102" spans="1:6" ht="15.75" customHeight="1">
      <c r="A102" s="1" t="s">
        <v>108</v>
      </c>
      <c r="B102" s="2">
        <v>11.23</v>
      </c>
      <c r="C102" s="2">
        <v>8.24</v>
      </c>
      <c r="D102" s="2">
        <v>11.27</v>
      </c>
      <c r="E102" s="2">
        <v>12.44</v>
      </c>
      <c r="F102" s="2">
        <v>17.149999999999999</v>
      </c>
    </row>
    <row r="103" spans="1:6" ht="15.75" customHeight="1">
      <c r="A103" s="1" t="s">
        <v>109</v>
      </c>
      <c r="B103" s="2">
        <v>12.05</v>
      </c>
      <c r="C103" s="2">
        <v>8.84</v>
      </c>
      <c r="D103" s="2">
        <v>12.26</v>
      </c>
      <c r="E103" s="2">
        <v>13.03</v>
      </c>
      <c r="F103" s="2">
        <v>17.920000000000002</v>
      </c>
    </row>
    <row r="104" spans="1:6" ht="15.75" customHeight="1">
      <c r="A104" s="1" t="s">
        <v>110</v>
      </c>
      <c r="B104" s="2">
        <v>11.61</v>
      </c>
      <c r="C104" s="2">
        <v>8.4</v>
      </c>
      <c r="D104" s="2">
        <v>11.7</v>
      </c>
      <c r="E104" s="2">
        <v>12.63</v>
      </c>
      <c r="F104" s="2">
        <v>17.25</v>
      </c>
    </row>
    <row r="105" spans="1:6" ht="15.75" customHeight="1">
      <c r="A105" s="1" t="s">
        <v>111</v>
      </c>
      <c r="B105" s="2">
        <v>11.29</v>
      </c>
      <c r="C105" s="2">
        <v>8.11</v>
      </c>
      <c r="D105" s="2">
        <v>11.51</v>
      </c>
      <c r="E105" s="2">
        <v>12.18</v>
      </c>
      <c r="F105" s="2">
        <v>17.13</v>
      </c>
    </row>
    <row r="106" spans="1:6" ht="15.75" customHeight="1">
      <c r="A106" s="1" t="s">
        <v>112</v>
      </c>
      <c r="B106" s="2">
        <v>11.33</v>
      </c>
      <c r="C106" s="2">
        <v>8.18</v>
      </c>
      <c r="D106" s="2">
        <v>11.46</v>
      </c>
      <c r="E106" s="2">
        <v>12.23</v>
      </c>
      <c r="F106" s="2">
        <v>17.170000000000002</v>
      </c>
    </row>
    <row r="107" spans="1:6" ht="15.75" customHeight="1">
      <c r="A107" s="1" t="s">
        <v>113</v>
      </c>
      <c r="B107" s="2">
        <v>11.84</v>
      </c>
      <c r="C107" s="2">
        <v>8.75</v>
      </c>
      <c r="D107" s="2">
        <v>11.97</v>
      </c>
      <c r="E107" s="2">
        <v>12.64</v>
      </c>
      <c r="F107" s="2">
        <v>17.77</v>
      </c>
    </row>
    <row r="108" spans="1:6" ht="15.75" customHeight="1">
      <c r="A108" s="1" t="s">
        <v>114</v>
      </c>
      <c r="B108" s="2">
        <v>11.88</v>
      </c>
      <c r="C108" s="2">
        <v>8.74</v>
      </c>
      <c r="D108" s="2">
        <v>12.11</v>
      </c>
      <c r="E108" s="2">
        <v>13.1</v>
      </c>
      <c r="F108" s="2">
        <v>18.78</v>
      </c>
    </row>
    <row r="109" spans="1:6" ht="15.75" customHeight="1">
      <c r="A109" s="1" t="s">
        <v>115</v>
      </c>
      <c r="B109" s="2">
        <v>10.72</v>
      </c>
      <c r="C109" s="2">
        <v>7.52</v>
      </c>
      <c r="D109" s="2">
        <v>10.95</v>
      </c>
      <c r="E109" s="2">
        <v>12.18</v>
      </c>
      <c r="F109" s="2">
        <v>18.53</v>
      </c>
    </row>
    <row r="110" spans="1:6" ht="15.75" customHeight="1">
      <c r="A110" s="1" t="s">
        <v>116</v>
      </c>
      <c r="B110" s="2">
        <v>12.21</v>
      </c>
      <c r="C110" s="2">
        <v>9.08</v>
      </c>
      <c r="D110" s="2">
        <v>12.71</v>
      </c>
      <c r="E110" s="2">
        <v>13.9</v>
      </c>
      <c r="F110" s="2">
        <v>18.920000000000002</v>
      </c>
    </row>
    <row r="111" spans="1:6" ht="15.75" customHeight="1">
      <c r="A111" s="1" t="s">
        <v>117</v>
      </c>
      <c r="B111" s="2">
        <v>10.98</v>
      </c>
      <c r="C111" s="2">
        <v>7.57</v>
      </c>
      <c r="D111" s="2">
        <v>11.42</v>
      </c>
      <c r="E111" s="2">
        <v>12.49</v>
      </c>
      <c r="F111" s="2">
        <v>18.93</v>
      </c>
    </row>
    <row r="112" spans="1:6" ht="15.75" customHeight="1">
      <c r="A112" s="1" t="s">
        <v>118</v>
      </c>
      <c r="B112" s="2">
        <v>12.72</v>
      </c>
      <c r="C112" s="2">
        <v>8.94</v>
      </c>
      <c r="D112" s="2">
        <v>13.11</v>
      </c>
      <c r="E112" s="2">
        <v>14.06</v>
      </c>
      <c r="F112" s="2">
        <v>19.41</v>
      </c>
    </row>
    <row r="113" spans="1:6" ht="15.75" customHeight="1">
      <c r="A113" s="1" t="s">
        <v>119</v>
      </c>
      <c r="B113" s="2">
        <v>12.42</v>
      </c>
      <c r="C113" s="2">
        <v>8.6999999999999993</v>
      </c>
      <c r="D113" s="2">
        <v>12.82</v>
      </c>
      <c r="E113" s="2">
        <v>13.92</v>
      </c>
      <c r="F113" s="2">
        <v>18.82</v>
      </c>
    </row>
    <row r="114" spans="1:6" ht="15.75" customHeight="1">
      <c r="A114" s="1" t="s">
        <v>120</v>
      </c>
      <c r="B114" s="2">
        <v>12.19</v>
      </c>
      <c r="C114" s="2">
        <v>8.48</v>
      </c>
      <c r="D114" s="2">
        <v>12.64</v>
      </c>
      <c r="E114" s="2">
        <v>13.73</v>
      </c>
      <c r="F114" s="2">
        <v>18.850000000000001</v>
      </c>
    </row>
    <row r="115" spans="1:6" ht="15.75" customHeight="1">
      <c r="A115" s="1" t="s">
        <v>121</v>
      </c>
      <c r="B115" s="2">
        <v>12.73</v>
      </c>
      <c r="C115" s="2">
        <v>9.26</v>
      </c>
      <c r="D115" s="2">
        <v>13.15</v>
      </c>
      <c r="E115" s="2">
        <v>14.32</v>
      </c>
      <c r="F115" s="2">
        <v>19.420000000000002</v>
      </c>
    </row>
    <row r="116" spans="1:6" ht="15.75" customHeight="1">
      <c r="A116" s="1" t="s">
        <v>122</v>
      </c>
      <c r="B116" s="2">
        <v>11.76</v>
      </c>
      <c r="C116" s="2">
        <v>8.23</v>
      </c>
      <c r="D116" s="2">
        <v>12.14</v>
      </c>
      <c r="E116" s="2">
        <v>13.26</v>
      </c>
      <c r="F116" s="2">
        <v>19.37</v>
      </c>
    </row>
    <row r="117" spans="1:6" ht="15.75" customHeight="1">
      <c r="A117" s="1" t="s">
        <v>123</v>
      </c>
      <c r="B117" s="2">
        <v>11.6</v>
      </c>
      <c r="C117" s="2">
        <v>8.0399999999999991</v>
      </c>
      <c r="D117" s="2">
        <v>11.96</v>
      </c>
      <c r="E117" s="2">
        <v>13.05</v>
      </c>
      <c r="F117" s="2">
        <v>18.96</v>
      </c>
    </row>
    <row r="118" spans="1:6" ht="15.75" customHeight="1">
      <c r="A118" s="1" t="s">
        <v>124</v>
      </c>
      <c r="B118" s="2">
        <v>11.3</v>
      </c>
      <c r="C118" s="2">
        <v>7.86</v>
      </c>
      <c r="D118" s="2">
        <v>11.65</v>
      </c>
      <c r="E118" s="2">
        <v>12.65</v>
      </c>
      <c r="F118" s="2">
        <v>19</v>
      </c>
    </row>
    <row r="119" spans="1:6" ht="15.75" customHeight="1">
      <c r="A119" s="1" t="s">
        <v>125</v>
      </c>
      <c r="B119" s="2">
        <v>11.16</v>
      </c>
      <c r="C119" s="2">
        <v>7.67</v>
      </c>
      <c r="D119" s="2">
        <v>11.45</v>
      </c>
      <c r="E119" s="2">
        <v>12.6</v>
      </c>
      <c r="F119" s="2">
        <v>19.11</v>
      </c>
    </row>
    <row r="120" spans="1:6" ht="15.75" customHeight="1">
      <c r="A120" s="1" t="s">
        <v>126</v>
      </c>
      <c r="B120" s="2">
        <v>11.36</v>
      </c>
      <c r="C120" s="2">
        <v>7.88</v>
      </c>
      <c r="D120" s="2">
        <v>11.63</v>
      </c>
      <c r="E120" s="2">
        <v>12.64</v>
      </c>
      <c r="F120" s="2">
        <v>18.73</v>
      </c>
    </row>
    <row r="121" spans="1:6" ht="15.75" customHeight="1">
      <c r="A121" s="1" t="s">
        <v>127</v>
      </c>
      <c r="B121" s="2">
        <v>10.41</v>
      </c>
      <c r="C121" s="2">
        <v>6.96</v>
      </c>
      <c r="D121" s="2">
        <v>10.69</v>
      </c>
      <c r="E121" s="2">
        <v>11.62</v>
      </c>
      <c r="F121" s="2">
        <v>18.940000000000001</v>
      </c>
    </row>
    <row r="122" spans="1:6" ht="15.75" customHeight="1">
      <c r="A122" s="1" t="s">
        <v>128</v>
      </c>
      <c r="B122" s="2">
        <v>10.68</v>
      </c>
      <c r="C122" s="2">
        <v>7.03</v>
      </c>
      <c r="D122" s="2">
        <v>11</v>
      </c>
      <c r="E122" s="2">
        <v>12.06</v>
      </c>
      <c r="F122" s="2">
        <v>17.809999999999999</v>
      </c>
    </row>
    <row r="123" spans="1:6" ht="15.75" customHeight="1">
      <c r="A123" s="1" t="s">
        <v>129</v>
      </c>
      <c r="B123" s="2">
        <v>11.48</v>
      </c>
      <c r="C123" s="2">
        <v>8.06</v>
      </c>
      <c r="D123" s="2">
        <v>11.71</v>
      </c>
      <c r="E123" s="2">
        <v>12.9</v>
      </c>
      <c r="F123" s="2">
        <v>18.3</v>
      </c>
    </row>
    <row r="124" spans="1:6" ht="15.75" customHeight="1">
      <c r="A124" s="1" t="s">
        <v>130</v>
      </c>
      <c r="B124" s="2">
        <v>11.27</v>
      </c>
      <c r="C124" s="2">
        <v>7.84</v>
      </c>
      <c r="D124" s="2">
        <v>11.47</v>
      </c>
      <c r="E124" s="2">
        <v>12.53</v>
      </c>
      <c r="F124" s="2">
        <v>18.34</v>
      </c>
    </row>
    <row r="125" spans="1:6" ht="15.75" customHeight="1">
      <c r="A125" s="1" t="s">
        <v>131</v>
      </c>
      <c r="B125" s="2">
        <v>10.7</v>
      </c>
      <c r="C125" s="2">
        <v>7.2</v>
      </c>
      <c r="D125" s="2">
        <v>10.96</v>
      </c>
      <c r="E125" s="2">
        <v>12.01</v>
      </c>
      <c r="F125" s="2">
        <v>17.97</v>
      </c>
    </row>
    <row r="126" spans="1:6" ht="15.75" customHeight="1">
      <c r="A126" s="1" t="s">
        <v>132</v>
      </c>
      <c r="B126" s="2">
        <v>11.11</v>
      </c>
      <c r="C126" s="2">
        <v>7.52</v>
      </c>
      <c r="D126" s="2">
        <v>11.33</v>
      </c>
      <c r="E126" s="2">
        <v>12.43</v>
      </c>
      <c r="F126" s="2">
        <v>17.989999999999998</v>
      </c>
    </row>
    <row r="127" spans="1:6" ht="15.75" customHeight="1">
      <c r="A127" s="1" t="s">
        <v>133</v>
      </c>
      <c r="B127" s="2">
        <v>11.1</v>
      </c>
      <c r="C127" s="2">
        <v>7.67</v>
      </c>
      <c r="D127" s="2">
        <v>11.36</v>
      </c>
      <c r="E127" s="2">
        <v>12.45</v>
      </c>
      <c r="F127" s="2">
        <v>18.3</v>
      </c>
    </row>
    <row r="128" spans="1:6" ht="15.75" customHeight="1">
      <c r="A128" s="1" t="s">
        <v>134</v>
      </c>
      <c r="B128" s="2">
        <v>11.08</v>
      </c>
      <c r="C128" s="2">
        <v>7.26</v>
      </c>
      <c r="D128" s="2">
        <v>11.32</v>
      </c>
      <c r="E128" s="2">
        <v>12.39</v>
      </c>
      <c r="F128" s="2">
        <v>18.29</v>
      </c>
    </row>
    <row r="129" spans="1:6" ht="15.75" customHeight="1">
      <c r="A129" s="1" t="s">
        <v>135</v>
      </c>
      <c r="B129" s="2">
        <v>11.46</v>
      </c>
      <c r="C129" s="2">
        <v>7.59</v>
      </c>
      <c r="D129" s="2">
        <v>11.6</v>
      </c>
      <c r="E129" s="2">
        <v>12.73</v>
      </c>
      <c r="F129" s="2">
        <v>18.899999999999999</v>
      </c>
    </row>
    <row r="130" spans="1:6" ht="15.75" customHeight="1">
      <c r="A130" s="1" t="s">
        <v>136</v>
      </c>
      <c r="B130" s="2">
        <v>11.33</v>
      </c>
      <c r="C130" s="2">
        <v>7.28</v>
      </c>
      <c r="D130" s="2">
        <v>11.61</v>
      </c>
      <c r="E130" s="2">
        <v>12.32</v>
      </c>
      <c r="F130" s="2">
        <v>19.239999999999998</v>
      </c>
    </row>
    <row r="131" spans="1:6" ht="15.75" customHeight="1">
      <c r="A131" s="1" t="s">
        <v>137</v>
      </c>
      <c r="B131" s="2">
        <v>11.54</v>
      </c>
      <c r="C131" s="2">
        <v>7.45</v>
      </c>
      <c r="D131" s="2">
        <v>11.6</v>
      </c>
      <c r="E131" s="2">
        <v>12.65</v>
      </c>
      <c r="F131" s="2">
        <v>19.690000000000001</v>
      </c>
    </row>
    <row r="132" spans="1:6" ht="15.75" customHeight="1">
      <c r="A132" s="1" t="s">
        <v>138</v>
      </c>
      <c r="B132" s="2">
        <v>13.1</v>
      </c>
      <c r="C132" s="2">
        <v>8.2899999999999991</v>
      </c>
      <c r="D132" s="2">
        <v>12.89</v>
      </c>
      <c r="E132" s="2">
        <v>13.81</v>
      </c>
      <c r="F132" s="2">
        <v>19.579999999999998</v>
      </c>
    </row>
    <row r="133" spans="1:6" ht="15.75" customHeight="1">
      <c r="A133" s="1" t="s">
        <v>139</v>
      </c>
      <c r="B133" s="2">
        <v>12.78</v>
      </c>
      <c r="C133" s="2">
        <v>8.23</v>
      </c>
      <c r="D133" s="2">
        <v>13.23</v>
      </c>
      <c r="E133" s="2">
        <v>14.03</v>
      </c>
      <c r="F133" s="2">
        <v>21.68</v>
      </c>
    </row>
    <row r="134" spans="1:6" ht="15.75" customHeight="1">
      <c r="A134" s="1" t="s">
        <v>140</v>
      </c>
      <c r="B134" s="2">
        <v>12.5</v>
      </c>
      <c r="C134" s="2">
        <v>8.0399999999999991</v>
      </c>
      <c r="D134" s="2">
        <v>13.34</v>
      </c>
      <c r="E134" s="2">
        <v>14.28</v>
      </c>
      <c r="F134" s="2">
        <v>22.12</v>
      </c>
    </row>
    <row r="135" spans="1:6" ht="15.75" customHeight="1">
      <c r="A135" s="1" t="s">
        <v>141</v>
      </c>
      <c r="B135" s="2">
        <v>13.12</v>
      </c>
      <c r="C135" s="2">
        <v>8.9499999999999993</v>
      </c>
      <c r="D135" s="2">
        <v>14.34</v>
      </c>
      <c r="E135" s="2">
        <v>15.34</v>
      </c>
      <c r="F135" s="2">
        <v>22.84</v>
      </c>
    </row>
    <row r="136" spans="1:6" ht="15.75" customHeight="1">
      <c r="A136" s="1" t="s">
        <v>142</v>
      </c>
      <c r="B136" s="2">
        <v>12.97</v>
      </c>
      <c r="C136" s="2">
        <v>8.85</v>
      </c>
      <c r="D136" s="2">
        <v>14.54</v>
      </c>
      <c r="E136" s="2">
        <v>15.85</v>
      </c>
      <c r="F136" s="2">
        <v>22.51</v>
      </c>
    </row>
    <row r="137" spans="1:6" ht="15.75" customHeight="1">
      <c r="A137" s="1" t="s">
        <v>143</v>
      </c>
      <c r="B137" s="2">
        <v>12.86</v>
      </c>
      <c r="C137" s="2">
        <v>8.7899999999999991</v>
      </c>
      <c r="D137" s="2">
        <v>14.79</v>
      </c>
      <c r="E137" s="2">
        <v>15.21</v>
      </c>
      <c r="F137" s="2">
        <v>22.37</v>
      </c>
    </row>
    <row r="138" spans="1:6" ht="15.75" customHeight="1">
      <c r="A138" s="1" t="s">
        <v>144</v>
      </c>
      <c r="B138" s="2">
        <v>12.5</v>
      </c>
      <c r="C138" s="2">
        <v>8.34</v>
      </c>
      <c r="D138" s="2">
        <v>14.66</v>
      </c>
      <c r="E138" s="2">
        <v>15.08</v>
      </c>
      <c r="F138" s="2">
        <v>22.77</v>
      </c>
    </row>
    <row r="139" spans="1:6" ht="15.75" customHeight="1">
      <c r="A139" s="1" t="s">
        <v>145</v>
      </c>
      <c r="B139" s="2">
        <v>12.54</v>
      </c>
      <c r="C139" s="2">
        <v>8.8800000000000008</v>
      </c>
      <c r="D139" s="2">
        <v>15.1</v>
      </c>
      <c r="E139" s="2">
        <v>15.57</v>
      </c>
      <c r="F139" s="2">
        <v>22.56</v>
      </c>
    </row>
    <row r="140" spans="1:6" ht="15.75" customHeight="1">
      <c r="A140" s="1" t="s">
        <v>146</v>
      </c>
      <c r="B140" s="2">
        <v>12.33</v>
      </c>
      <c r="C140" s="2">
        <v>8.66</v>
      </c>
      <c r="D140" s="2">
        <v>14.79</v>
      </c>
      <c r="E140" s="2">
        <v>15.65</v>
      </c>
      <c r="F140" s="2">
        <v>22.25</v>
      </c>
    </row>
    <row r="141" spans="1:6" ht="15.75" customHeight="1">
      <c r="A141" s="1" t="s">
        <v>147</v>
      </c>
      <c r="B141" s="2">
        <v>12.6</v>
      </c>
      <c r="C141" s="2">
        <v>8.52</v>
      </c>
      <c r="D141" s="2">
        <v>14.73</v>
      </c>
      <c r="E141" s="2">
        <v>15.61</v>
      </c>
      <c r="F141" s="2">
        <v>22.02</v>
      </c>
    </row>
    <row r="142" spans="1:6" ht="15.75" customHeight="1">
      <c r="A142" s="1" t="s">
        <v>148</v>
      </c>
      <c r="B142" s="2">
        <v>13.82</v>
      </c>
      <c r="C142" s="2">
        <v>8.61</v>
      </c>
      <c r="D142" s="2">
        <v>14.91</v>
      </c>
      <c r="E142" s="2">
        <v>15.93</v>
      </c>
      <c r="F142" s="2">
        <v>21.87</v>
      </c>
    </row>
  </sheetData>
  <mergeCells count="2">
    <mergeCell ref="A1:F1"/>
    <mergeCell ref="I2:J2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00"/>
  <sheetViews>
    <sheetView topLeftCell="A23" workbookViewId="0">
      <selection activeCell="G32" sqref="G32:J48"/>
    </sheetView>
  </sheetViews>
  <sheetFormatPr defaultColWidth="12.625" defaultRowHeight="15" customHeight="1"/>
  <cols>
    <col min="1" max="1" width="19.125" customWidth="1"/>
    <col min="2" max="4" width="18.375" customWidth="1"/>
    <col min="5" max="6" width="10.625" customWidth="1"/>
    <col min="7" max="10" width="18.375" customWidth="1"/>
    <col min="11" max="11" width="10.625" customWidth="1"/>
    <col min="12" max="15" width="15.625" customWidth="1"/>
    <col min="16" max="16" width="10.625" customWidth="1"/>
    <col min="17" max="17" width="22" customWidth="1"/>
    <col min="18" max="19" width="15" customWidth="1"/>
    <col min="20" max="20" width="10.625" customWidth="1"/>
  </cols>
  <sheetData>
    <row r="1" spans="1:20" ht="15.75" customHeight="1">
      <c r="A1" s="5" t="s">
        <v>149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7"/>
      <c r="Q1" s="7"/>
      <c r="R1" s="7"/>
      <c r="S1" s="7"/>
      <c r="T1" s="7"/>
    </row>
    <row r="2" spans="1:20" ht="15.75" customHeight="1">
      <c r="P2" s="8"/>
      <c r="Q2" s="8"/>
      <c r="R2" s="8"/>
      <c r="S2" s="8"/>
      <c r="T2" s="8"/>
    </row>
    <row r="3" spans="1:20" ht="15.75" customHeight="1">
      <c r="A3" s="9" t="s">
        <v>150</v>
      </c>
      <c r="P3" s="8"/>
      <c r="Q3" s="8"/>
      <c r="R3" s="8"/>
      <c r="S3" s="8"/>
      <c r="T3" s="8"/>
    </row>
    <row r="4" spans="1:20" ht="15.75" customHeight="1">
      <c r="A4" s="10" t="s">
        <v>151</v>
      </c>
      <c r="F4" s="10" t="s">
        <v>152</v>
      </c>
      <c r="K4" s="10" t="s">
        <v>153</v>
      </c>
      <c r="P4" s="8"/>
      <c r="Q4" s="8"/>
      <c r="R4" s="8"/>
      <c r="S4" s="8"/>
      <c r="T4" s="8"/>
    </row>
    <row r="5" spans="1:20" ht="15.75" customHeight="1">
      <c r="A5" s="11" t="s">
        <v>154</v>
      </c>
      <c r="B5" s="11" t="s">
        <v>155</v>
      </c>
      <c r="C5" s="11" t="s">
        <v>156</v>
      </c>
      <c r="D5" s="11" t="s">
        <v>157</v>
      </c>
      <c r="E5" s="10"/>
      <c r="F5" s="11" t="s">
        <v>154</v>
      </c>
      <c r="G5" s="11" t="s">
        <v>155</v>
      </c>
      <c r="H5" s="11" t="s">
        <v>156</v>
      </c>
      <c r="I5" s="11" t="s">
        <v>157</v>
      </c>
      <c r="K5" s="11" t="s">
        <v>154</v>
      </c>
      <c r="L5" s="11" t="s">
        <v>155</v>
      </c>
      <c r="M5" s="11" t="s">
        <v>156</v>
      </c>
      <c r="N5" s="11" t="s">
        <v>157</v>
      </c>
      <c r="O5" s="8"/>
      <c r="P5" s="8"/>
      <c r="Q5" s="8"/>
      <c r="R5" s="8"/>
      <c r="S5" s="8"/>
      <c r="T5" s="8"/>
    </row>
    <row r="6" spans="1:20" ht="15.75" customHeight="1">
      <c r="A6" s="11" t="s">
        <v>158</v>
      </c>
      <c r="B6" s="12">
        <v>4.1000000000000002E-2</v>
      </c>
      <c r="C6" s="12">
        <v>5.0999999999999997E-2</v>
      </c>
      <c r="D6" s="12">
        <v>-8.9999999999999993E-3</v>
      </c>
      <c r="E6" s="10"/>
      <c r="F6" s="11" t="s">
        <v>158</v>
      </c>
      <c r="G6" s="12">
        <v>4.2999999999999997E-2</v>
      </c>
      <c r="H6" s="12">
        <v>4.2999999999999997E-2</v>
      </c>
      <c r="I6" s="12">
        <v>1.4999999999999999E-2</v>
      </c>
      <c r="K6" s="11"/>
      <c r="L6" s="12"/>
      <c r="M6" s="12"/>
      <c r="N6" s="12"/>
      <c r="O6" s="13"/>
      <c r="P6" s="8"/>
      <c r="Q6" s="8"/>
      <c r="R6" s="8"/>
      <c r="S6" s="8"/>
      <c r="T6" s="8"/>
    </row>
    <row r="7" spans="1:20" ht="15.75" customHeight="1">
      <c r="A7" s="14">
        <v>2025</v>
      </c>
      <c r="B7" s="15">
        <v>211665591217.04001</v>
      </c>
      <c r="C7" s="15">
        <v>211665591217.04001</v>
      </c>
      <c r="D7" s="15">
        <v>211665591217.04001</v>
      </c>
      <c r="F7" s="14">
        <v>2025</v>
      </c>
      <c r="G7" s="15">
        <v>178226587475.73999</v>
      </c>
      <c r="H7" s="15">
        <v>178226587475.73999</v>
      </c>
      <c r="I7" s="15">
        <v>178226587475.73999</v>
      </c>
      <c r="K7" s="14">
        <v>2025</v>
      </c>
      <c r="L7" s="15">
        <v>33439003741.300018</v>
      </c>
      <c r="M7" s="15">
        <v>33439003741.300018</v>
      </c>
      <c r="N7" s="15">
        <v>33439003741.300018</v>
      </c>
      <c r="O7" s="16"/>
      <c r="P7" s="8"/>
      <c r="Q7" s="8"/>
      <c r="R7" s="8"/>
      <c r="S7" s="8"/>
      <c r="T7" s="8"/>
    </row>
    <row r="8" spans="1:20" ht="15.75" customHeight="1">
      <c r="A8" s="17">
        <v>2026</v>
      </c>
      <c r="B8" s="18">
        <v>220343880456.93863</v>
      </c>
      <c r="C8" s="18">
        <v>222460536369.10904</v>
      </c>
      <c r="D8" s="18">
        <v>209760600896.08664</v>
      </c>
      <c r="F8" s="17">
        <v>2026</v>
      </c>
      <c r="G8" s="18">
        <v>185890330737.19681</v>
      </c>
      <c r="H8" s="18">
        <v>185890330737.19681</v>
      </c>
      <c r="I8" s="18">
        <v>180899986287.87607</v>
      </c>
      <c r="K8" s="17">
        <v>2026</v>
      </c>
      <c r="L8" s="18">
        <v>34453549719.741821</v>
      </c>
      <c r="M8" s="18">
        <v>36570205631.912231</v>
      </c>
      <c r="N8" s="18">
        <v>28860614608.210571</v>
      </c>
      <c r="O8" s="16"/>
      <c r="P8" s="8"/>
      <c r="Q8" s="8"/>
      <c r="R8" s="8"/>
      <c r="S8" s="8"/>
      <c r="T8" s="8"/>
    </row>
    <row r="9" spans="1:20" ht="15.75" customHeight="1">
      <c r="A9" s="19">
        <v>2027</v>
      </c>
      <c r="B9" s="18">
        <v>229377979555.6731</v>
      </c>
      <c r="C9" s="18">
        <v>233806023723.93359</v>
      </c>
      <c r="D9" s="18">
        <v>207872755488.02185</v>
      </c>
      <c r="F9" s="19">
        <v>2027</v>
      </c>
      <c r="G9" s="18">
        <v>193883614958.89627</v>
      </c>
      <c r="H9" s="18">
        <v>193883614958.89627</v>
      </c>
      <c r="I9" s="18">
        <v>183613486082.19418</v>
      </c>
      <c r="K9" s="19">
        <v>2027</v>
      </c>
      <c r="L9" s="18">
        <v>35494364596.776825</v>
      </c>
      <c r="M9" s="18">
        <v>39922408765.037323</v>
      </c>
      <c r="N9" s="18">
        <v>24259269405.827667</v>
      </c>
      <c r="O9" s="16"/>
      <c r="P9" s="8"/>
      <c r="Q9" s="8"/>
      <c r="R9" s="8"/>
      <c r="S9" s="8"/>
      <c r="T9" s="8"/>
    </row>
    <row r="10" spans="1:20" ht="15.75" customHeight="1">
      <c r="A10" s="19">
        <v>2028</v>
      </c>
      <c r="B10" s="18">
        <v>238782476717.45569</v>
      </c>
      <c r="C10" s="18">
        <v>245730130933.85419</v>
      </c>
      <c r="D10" s="18">
        <v>206001900688.62964</v>
      </c>
      <c r="F10" s="19">
        <v>2028</v>
      </c>
      <c r="G10" s="18">
        <v>202220610402.12878</v>
      </c>
      <c r="H10" s="18">
        <v>202220610402.12878</v>
      </c>
      <c r="I10" s="18">
        <v>186367688373.42706</v>
      </c>
      <c r="K10" s="19">
        <v>2028</v>
      </c>
      <c r="L10" s="18">
        <v>36561866315.326904</v>
      </c>
      <c r="M10" s="18">
        <v>43509520531.725403</v>
      </c>
      <c r="N10" s="18">
        <v>19634212315.202576</v>
      </c>
      <c r="O10" s="16"/>
      <c r="P10" s="8"/>
      <c r="Q10" s="8"/>
      <c r="R10" s="8"/>
      <c r="S10" s="8"/>
      <c r="T10" s="8"/>
    </row>
    <row r="11" spans="1:20" ht="15.75" customHeight="1">
      <c r="A11" s="19">
        <v>2029</v>
      </c>
      <c r="B11" s="18">
        <v>248572558262.87137</v>
      </c>
      <c r="C11" s="18">
        <v>258262367611.48074</v>
      </c>
      <c r="D11" s="18">
        <v>204147883582.43198</v>
      </c>
      <c r="F11" s="19">
        <v>2029</v>
      </c>
      <c r="G11" s="18">
        <v>210916096649.42032</v>
      </c>
      <c r="H11" s="18">
        <v>210916096649.42032</v>
      </c>
      <c r="I11" s="18">
        <v>189163203699.02844</v>
      </c>
      <c r="K11" s="19">
        <v>2029</v>
      </c>
      <c r="L11" s="18">
        <v>37656461613.45105</v>
      </c>
      <c r="M11" s="18">
        <v>47346270962.060425</v>
      </c>
      <c r="N11" s="18">
        <v>14984679883.403534</v>
      </c>
      <c r="O11" s="16"/>
      <c r="P11" s="8"/>
      <c r="Q11" s="8"/>
      <c r="R11" s="8"/>
      <c r="S11" s="8"/>
      <c r="T11" s="8"/>
    </row>
    <row r="12" spans="1:20" ht="15.75" customHeight="1">
      <c r="A12" s="19">
        <v>2030</v>
      </c>
      <c r="B12" s="18">
        <v>258764033151.64908</v>
      </c>
      <c r="C12" s="18">
        <v>271433748359.66623</v>
      </c>
      <c r="D12" s="18">
        <v>202310552630.19009</v>
      </c>
      <c r="F12" s="19">
        <v>2030</v>
      </c>
      <c r="G12" s="18">
        <v>219985488805.34537</v>
      </c>
      <c r="H12" s="18">
        <v>219985488805.34537</v>
      </c>
      <c r="I12" s="18">
        <v>192000651754.51385</v>
      </c>
      <c r="K12" s="19">
        <v>2030</v>
      </c>
      <c r="L12" s="18">
        <v>38778544346.303711</v>
      </c>
      <c r="M12" s="18">
        <v>51448259554.320862</v>
      </c>
      <c r="N12" s="18">
        <v>10309900875.676239</v>
      </c>
      <c r="O12" s="16"/>
      <c r="P12" s="8"/>
      <c r="Q12" s="8"/>
      <c r="R12" s="8"/>
      <c r="S12" s="8"/>
      <c r="T12" s="8"/>
    </row>
    <row r="13" spans="1:20" ht="15.75" customHeight="1">
      <c r="A13" s="19">
        <v>2031</v>
      </c>
      <c r="B13" s="18">
        <v>269373358510.86667</v>
      </c>
      <c r="C13" s="18">
        <v>285276869526.00922</v>
      </c>
      <c r="D13" s="18">
        <v>200489757656.51837</v>
      </c>
      <c r="F13" s="19">
        <v>2031</v>
      </c>
      <c r="G13" s="18">
        <v>229444864823.97519</v>
      </c>
      <c r="H13" s="18">
        <v>229444864823.97519</v>
      </c>
      <c r="I13" s="18">
        <v>194880661530.83154</v>
      </c>
      <c r="K13" s="19">
        <v>2031</v>
      </c>
      <c r="L13" s="18">
        <v>39928493686.891479</v>
      </c>
      <c r="M13" s="18">
        <v>55832004702.034027</v>
      </c>
      <c r="N13" s="18">
        <v>5609096125.6868286</v>
      </c>
      <c r="O13" s="16"/>
      <c r="P13" s="8"/>
      <c r="Q13" s="8"/>
      <c r="R13" s="8"/>
      <c r="S13" s="8"/>
      <c r="T13" s="8"/>
    </row>
    <row r="14" spans="1:20" ht="15.75" customHeight="1">
      <c r="A14" s="19">
        <v>2032</v>
      </c>
      <c r="B14" s="18">
        <v>280417666209.81219</v>
      </c>
      <c r="C14" s="18">
        <v>299825989871.83569</v>
      </c>
      <c r="D14" s="18">
        <v>198685349837.60971</v>
      </c>
      <c r="F14" s="19">
        <v>2032</v>
      </c>
      <c r="G14" s="18">
        <v>239310994011.4061</v>
      </c>
      <c r="H14" s="18">
        <v>239310994011.4061</v>
      </c>
      <c r="I14" s="18">
        <v>197803871453.79401</v>
      </c>
      <c r="K14" s="19">
        <v>2032</v>
      </c>
      <c r="L14" s="18">
        <v>41106672198.406097</v>
      </c>
      <c r="M14" s="18">
        <v>60514995860.429596</v>
      </c>
      <c r="N14" s="18">
        <v>881478383.81570435</v>
      </c>
      <c r="O14" s="16"/>
      <c r="P14" s="8"/>
      <c r="Q14" s="8"/>
      <c r="R14" s="8"/>
      <c r="S14" s="8"/>
      <c r="T14" s="8"/>
    </row>
    <row r="15" spans="1:20" ht="15.75" customHeight="1">
      <c r="A15" s="19">
        <v>2033</v>
      </c>
      <c r="B15" s="18">
        <v>291914790524.41449</v>
      </c>
      <c r="C15" s="18">
        <v>315117115355.29932</v>
      </c>
      <c r="D15" s="18">
        <v>196897181689.07123</v>
      </c>
      <c r="F15" s="19">
        <v>2033</v>
      </c>
      <c r="G15" s="18">
        <v>249601366753.89655</v>
      </c>
      <c r="H15" s="18">
        <v>249601366753.89655</v>
      </c>
      <c r="I15" s="18">
        <v>200770929525.60089</v>
      </c>
      <c r="K15" s="19">
        <v>2033</v>
      </c>
      <c r="L15" s="18">
        <v>42313423770.517944</v>
      </c>
      <c r="M15" s="18">
        <v>65515748601.402771</v>
      </c>
      <c r="N15" s="18">
        <v>-3873747836.5296631</v>
      </c>
      <c r="O15" s="16"/>
      <c r="P15" s="8"/>
      <c r="Q15" s="8"/>
      <c r="R15" s="8"/>
      <c r="S15" s="8"/>
      <c r="T15" s="8"/>
    </row>
    <row r="16" spans="1:20" ht="15.75" customHeight="1">
      <c r="A16" s="19">
        <v>2034</v>
      </c>
      <c r="B16" s="18">
        <v>303883296935.91547</v>
      </c>
      <c r="C16" s="18">
        <v>331188088238.41956</v>
      </c>
      <c r="D16" s="18">
        <v>195125107053.8696</v>
      </c>
      <c r="F16" s="19">
        <v>2034</v>
      </c>
      <c r="G16" s="18">
        <v>260334225524.31409</v>
      </c>
      <c r="H16" s="18">
        <v>260334225524.31409</v>
      </c>
      <c r="I16" s="18">
        <v>203782493468.48489</v>
      </c>
      <c r="K16" s="19">
        <v>2034</v>
      </c>
      <c r="L16" s="18">
        <v>43549071411.601379</v>
      </c>
      <c r="M16" s="18">
        <v>70853862714.105469</v>
      </c>
      <c r="N16" s="20">
        <v>-8657386414.6152954</v>
      </c>
      <c r="O16" s="21"/>
      <c r="P16" s="8"/>
      <c r="Q16" s="8"/>
      <c r="R16" s="8"/>
      <c r="S16" s="8"/>
      <c r="T16" s="8"/>
    </row>
    <row r="17" spans="1:20" ht="15.75" customHeight="1">
      <c r="A17" s="19">
        <v>2035</v>
      </c>
      <c r="B17" s="18">
        <v>316342512110.28796</v>
      </c>
      <c r="C17" s="18">
        <v>348078680738.57892</v>
      </c>
      <c r="D17" s="18">
        <v>193368981090.38477</v>
      </c>
      <c r="F17" s="19">
        <v>2035</v>
      </c>
      <c r="G17" s="18">
        <v>271528597221.85959</v>
      </c>
      <c r="H17" s="18">
        <v>271528597221.85959</v>
      </c>
      <c r="I17" s="18">
        <v>206839230870.51215</v>
      </c>
      <c r="K17" s="19">
        <v>2035</v>
      </c>
      <c r="L17" s="18">
        <v>44813914888.428375</v>
      </c>
      <c r="M17" s="18">
        <v>76550083516.71933</v>
      </c>
      <c r="N17" s="20">
        <v>-13470249780.12738</v>
      </c>
      <c r="O17" s="21"/>
      <c r="P17" s="8"/>
      <c r="Q17" s="8"/>
      <c r="R17" s="8"/>
      <c r="S17" s="8"/>
      <c r="T17" s="8"/>
    </row>
    <row r="18" spans="1:20" ht="15.75" customHeight="1">
      <c r="A18" s="19">
        <v>2036</v>
      </c>
      <c r="B18" s="18">
        <v>329312555106.80975</v>
      </c>
      <c r="C18" s="18">
        <v>365830693456.2464</v>
      </c>
      <c r="D18" s="18">
        <v>191628660260.57129</v>
      </c>
      <c r="F18" s="19">
        <v>2036</v>
      </c>
      <c r="G18" s="18">
        <v>283204326902.39954</v>
      </c>
      <c r="H18" s="18">
        <v>283204326902.39954</v>
      </c>
      <c r="I18" s="18">
        <v>209941819333.56979</v>
      </c>
      <c r="K18" s="19">
        <v>2036</v>
      </c>
      <c r="L18" s="18">
        <v>46108228204.410217</v>
      </c>
      <c r="M18" s="18">
        <v>82626366553.846863</v>
      </c>
      <c r="N18" s="20">
        <v>-18313159072.998505</v>
      </c>
      <c r="O18" s="21"/>
      <c r="P18" s="8"/>
      <c r="Q18" s="8"/>
      <c r="R18" s="8"/>
      <c r="S18" s="8"/>
      <c r="T18" s="8"/>
    </row>
    <row r="19" spans="1:20" ht="15.75" customHeight="1">
      <c r="A19" s="19">
        <v>2037</v>
      </c>
      <c r="B19" s="18">
        <v>342814369866.1889</v>
      </c>
      <c r="C19" s="18">
        <v>384488058822.51495</v>
      </c>
      <c r="D19" s="18">
        <v>189904002318.22614</v>
      </c>
      <c r="F19" s="19">
        <v>2037</v>
      </c>
      <c r="G19" s="18">
        <v>295382112959.2027</v>
      </c>
      <c r="H19" s="18">
        <v>295382112959.2027</v>
      </c>
      <c r="I19" s="18">
        <v>213090946623.57333</v>
      </c>
      <c r="K19" s="19">
        <v>2037</v>
      </c>
      <c r="L19" s="18">
        <v>47432256906.986206</v>
      </c>
      <c r="M19" s="18">
        <v>89105945863.312256</v>
      </c>
      <c r="N19" s="20">
        <v>-23186944305.347198</v>
      </c>
      <c r="O19" s="21"/>
      <c r="P19" s="8"/>
      <c r="Q19" s="8"/>
      <c r="R19" s="8"/>
      <c r="S19" s="8"/>
      <c r="T19" s="8"/>
    </row>
    <row r="20" spans="1:20" ht="15.75" customHeight="1">
      <c r="A20" s="19">
        <v>2038</v>
      </c>
      <c r="B20" s="18">
        <v>356869759030.70264</v>
      </c>
      <c r="C20" s="18">
        <v>404096949822.4632</v>
      </c>
      <c r="D20" s="18">
        <v>188194866297.36209</v>
      </c>
      <c r="F20" s="19">
        <v>2038</v>
      </c>
      <c r="G20" s="18">
        <v>308083543816.44836</v>
      </c>
      <c r="H20" s="18">
        <v>308083543816.44836</v>
      </c>
      <c r="I20" s="18">
        <v>216287310822.92691</v>
      </c>
      <c r="K20" s="19">
        <v>2038</v>
      </c>
      <c r="L20" s="18">
        <v>48786215214.254272</v>
      </c>
      <c r="M20" s="18">
        <v>96013406006.014832</v>
      </c>
      <c r="N20" s="20">
        <v>-28092444525.564819</v>
      </c>
      <c r="O20" s="21"/>
      <c r="P20" s="8"/>
      <c r="Q20" s="8"/>
      <c r="R20" s="8"/>
      <c r="S20" s="8"/>
      <c r="T20" s="8"/>
    </row>
    <row r="21" spans="1:20" ht="15.75" customHeight="1">
      <c r="A21" s="19">
        <v>2039</v>
      </c>
      <c r="B21" s="18">
        <v>371501419150.96143</v>
      </c>
      <c r="C21" s="18">
        <v>424705894263.40881</v>
      </c>
      <c r="D21" s="18">
        <v>186501112500.68582</v>
      </c>
      <c r="F21" s="19">
        <v>2039</v>
      </c>
      <c r="G21" s="18">
        <v>321331136200.5556</v>
      </c>
      <c r="H21" s="18">
        <v>321331136200.5556</v>
      </c>
      <c r="I21" s="18">
        <v>219531620485.27078</v>
      </c>
      <c r="K21" s="19">
        <v>2039</v>
      </c>
      <c r="L21" s="18">
        <v>50170282950.405823</v>
      </c>
      <c r="M21" s="18">
        <v>103374758062.85321</v>
      </c>
      <c r="N21" s="20">
        <v>-33030507984.584961</v>
      </c>
      <c r="O21" s="21"/>
      <c r="P21" s="8"/>
      <c r="Q21" s="8"/>
      <c r="R21" s="8"/>
      <c r="S21" s="8"/>
      <c r="T21" s="8"/>
    </row>
    <row r="22" spans="1:20" ht="15.75" customHeight="1">
      <c r="A22" s="19">
        <v>2040</v>
      </c>
      <c r="B22" s="18">
        <v>386732977336.15082</v>
      </c>
      <c r="C22" s="18">
        <v>446365894870.84265</v>
      </c>
      <c r="D22" s="18">
        <v>184822602488.17966</v>
      </c>
      <c r="F22" s="19">
        <v>2040</v>
      </c>
      <c r="G22" s="18">
        <v>335148375057.17944</v>
      </c>
      <c r="H22" s="18">
        <v>335148375057.17944</v>
      </c>
      <c r="I22" s="18">
        <v>222824594792.54984</v>
      </c>
      <c r="K22" s="19">
        <v>2040</v>
      </c>
      <c r="L22" s="18">
        <v>51584602278.971375</v>
      </c>
      <c r="M22" s="18">
        <v>111217519813.66321</v>
      </c>
      <c r="N22" s="20">
        <v>-38001992304.370178</v>
      </c>
      <c r="O22" s="21"/>
      <c r="P22" s="8"/>
      <c r="Q22" s="8"/>
      <c r="R22" s="8"/>
      <c r="S22" s="8"/>
      <c r="T22" s="8"/>
    </row>
    <row r="23" spans="1:20" ht="15.75" customHeight="1">
      <c r="P23" s="8"/>
      <c r="Q23" s="8"/>
      <c r="R23" s="8"/>
      <c r="S23" s="8"/>
    </row>
    <row r="24" spans="1:20" ht="15.75" customHeight="1">
      <c r="P24" s="8"/>
      <c r="Q24" s="8"/>
      <c r="R24" s="8"/>
      <c r="S24" s="8"/>
    </row>
    <row r="25" spans="1:20" ht="15.75" customHeight="1">
      <c r="A25" s="5" t="s">
        <v>159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7"/>
      <c r="Q25" s="7"/>
      <c r="R25" s="7"/>
      <c r="S25" s="7"/>
      <c r="T25" s="6"/>
    </row>
    <row r="26" spans="1:20" ht="15.75" customHeight="1">
      <c r="A26" s="22" t="s">
        <v>160</v>
      </c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8"/>
      <c r="Q26" s="8"/>
      <c r="R26" s="8"/>
      <c r="S26" s="8"/>
      <c r="T26" s="22"/>
    </row>
    <row r="27" spans="1:20" ht="15.75" customHeight="1">
      <c r="A27" s="23">
        <f>aux!H30</f>
        <v>1.4653209741312236</v>
      </c>
      <c r="B27" t="s">
        <v>161</v>
      </c>
      <c r="P27" s="8"/>
      <c r="Q27" s="8"/>
      <c r="R27" s="8"/>
      <c r="S27" s="8"/>
    </row>
    <row r="28" spans="1:20" ht="15.75" customHeight="1">
      <c r="A28" s="24">
        <f>aux!D46</f>
        <v>0.11457828549563256</v>
      </c>
      <c r="B28" t="s">
        <v>162</v>
      </c>
    </row>
    <row r="29" spans="1:20" ht="15.75" customHeight="1"/>
    <row r="30" spans="1:20" ht="15.75" customHeight="1">
      <c r="G30" s="25"/>
    </row>
    <row r="31" spans="1:20" ht="15.75" customHeight="1">
      <c r="A31" s="10" t="s">
        <v>163</v>
      </c>
      <c r="F31" s="8"/>
      <c r="G31" s="26" t="s">
        <v>164</v>
      </c>
      <c r="H31" s="27"/>
      <c r="I31" s="27"/>
      <c r="J31" s="28"/>
    </row>
    <row r="32" spans="1:20" ht="15.75" customHeight="1">
      <c r="A32" s="11" t="s">
        <v>154</v>
      </c>
      <c r="B32" s="11" t="s">
        <v>155</v>
      </c>
      <c r="C32" s="11" t="s">
        <v>156</v>
      </c>
      <c r="D32" s="11" t="s">
        <v>157</v>
      </c>
      <c r="E32" s="8"/>
      <c r="F32" s="8"/>
      <c r="G32" s="11" t="s">
        <v>154</v>
      </c>
      <c r="H32" s="11" t="s">
        <v>155</v>
      </c>
      <c r="I32" s="11" t="s">
        <v>156</v>
      </c>
      <c r="J32" s="11" t="s">
        <v>157</v>
      </c>
    </row>
    <row r="33" spans="1:10" ht="15.75" customHeight="1">
      <c r="A33" s="14">
        <v>2025</v>
      </c>
      <c r="B33" s="29">
        <v>829800000000</v>
      </c>
      <c r="C33" s="29">
        <v>829800000000</v>
      </c>
      <c r="D33" s="29">
        <v>829800000000</v>
      </c>
      <c r="E33" s="13"/>
      <c r="F33" s="8"/>
      <c r="G33" s="11"/>
      <c r="H33" s="12"/>
      <c r="I33" s="12"/>
      <c r="J33" s="12"/>
    </row>
    <row r="34" spans="1:10" ht="15.75" customHeight="1">
      <c r="A34" s="17">
        <v>2026</v>
      </c>
      <c r="B34" s="30">
        <f t="shared" ref="B34:D34" si="0">B33+($A$27*L7)</f>
        <v>878798873536.17932</v>
      </c>
      <c r="C34" s="30">
        <f t="shared" si="0"/>
        <v>878798873536.17932</v>
      </c>
      <c r="D34" s="30">
        <f t="shared" si="0"/>
        <v>878798873536.17932</v>
      </c>
      <c r="E34" s="16"/>
      <c r="F34" s="8"/>
      <c r="G34" s="17">
        <v>2026</v>
      </c>
      <c r="H34" s="30">
        <f t="shared" ref="H34:J34" si="1">B34*$A$28</f>
        <v>100691268225.26865</v>
      </c>
      <c r="I34" s="30">
        <f t="shared" si="1"/>
        <v>100691268225.26865</v>
      </c>
      <c r="J34" s="30">
        <f t="shared" si="1"/>
        <v>100691268225.26865</v>
      </c>
    </row>
    <row r="35" spans="1:10" ht="15.75" customHeight="1">
      <c r="A35" s="19">
        <v>2027</v>
      </c>
      <c r="B35" s="30">
        <f t="shared" ref="B35:D35" si="2">B34+($A$27*L8)</f>
        <v>929284382573.78992</v>
      </c>
      <c r="C35" s="30">
        <f t="shared" si="2"/>
        <v>932385962876.91211</v>
      </c>
      <c r="D35" s="30">
        <f t="shared" si="2"/>
        <v>921088937447.9082</v>
      </c>
      <c r="E35" s="16"/>
      <c r="F35" s="8"/>
      <c r="G35" s="19">
        <v>2027</v>
      </c>
      <c r="H35" s="30">
        <f t="shared" ref="H35:J35" si="3">B35*$A$28</f>
        <v>106475811293.17233</v>
      </c>
      <c r="I35" s="30">
        <f t="shared" si="3"/>
        <v>106831185046.6311</v>
      </c>
      <c r="J35" s="30">
        <f t="shared" si="3"/>
        <v>105536791241.77527</v>
      </c>
    </row>
    <row r="36" spans="1:10" ht="15.75" customHeight="1">
      <c r="A36" s="19">
        <v>2028</v>
      </c>
      <c r="B36" s="30">
        <f t="shared" ref="B36:D36" si="4">B35+($A$27*L9)</f>
        <v>981295019480.90771</v>
      </c>
      <c r="C36" s="30">
        <f t="shared" si="4"/>
        <v>990885105778.1615</v>
      </c>
      <c r="D36" s="30">
        <f t="shared" si="4"/>
        <v>956636553725.36743</v>
      </c>
      <c r="E36" s="16"/>
      <c r="F36" s="8"/>
      <c r="G36" s="19">
        <v>2028</v>
      </c>
      <c r="H36" s="30">
        <f t="shared" ref="H36:J36" si="5">B36*$A$28</f>
        <v>112435100897.52576</v>
      </c>
      <c r="I36" s="30">
        <f t="shared" si="5"/>
        <v>113533916543.22026</v>
      </c>
      <c r="J36" s="30">
        <f t="shared" si="5"/>
        <v>109609776168.30319</v>
      </c>
    </row>
    <row r="37" spans="1:10" ht="15.75" customHeight="1">
      <c r="A37" s="19">
        <v>2029</v>
      </c>
      <c r="B37" s="30">
        <f t="shared" ref="B37:D37" si="6">B36+($A$27*L10)</f>
        <v>1034869889046.1381</v>
      </c>
      <c r="C37" s="30">
        <f t="shared" si="6"/>
        <v>1054640518787.6919</v>
      </c>
      <c r="D37" s="30">
        <f t="shared" si="6"/>
        <v>985406976841.37939</v>
      </c>
      <c r="E37" s="16"/>
      <c r="F37" s="8"/>
      <c r="G37" s="19">
        <v>2029</v>
      </c>
      <c r="H37" s="30">
        <f t="shared" ref="H37:J37" si="7">B37*$A$28</f>
        <v>118573617597.96201</v>
      </c>
      <c r="I37" s="30">
        <f t="shared" si="7"/>
        <v>120838902456.9182</v>
      </c>
      <c r="J37" s="30">
        <f t="shared" si="7"/>
        <v>112906241921.91975</v>
      </c>
    </row>
    <row r="38" spans="1:10" ht="15.75" customHeight="1">
      <c r="A38" s="19">
        <v>2030</v>
      </c>
      <c r="B38" s="30">
        <f t="shared" ref="B38:D38" si="8">B37+($A$27*L11)</f>
        <v>1090048692059.8951</v>
      </c>
      <c r="C38" s="30">
        <f t="shared" si="8"/>
        <v>1124018002675.2991</v>
      </c>
      <c r="D38" s="30">
        <f t="shared" si="8"/>
        <v>1007364342565.1729</v>
      </c>
      <c r="E38" s="16"/>
      <c r="F38" s="8"/>
      <c r="G38" s="19">
        <v>2030</v>
      </c>
      <c r="H38" s="30">
        <f t="shared" ref="H38:J38" si="9">B38*$A$28</f>
        <v>124895910242.97954</v>
      </c>
      <c r="I38" s="30">
        <f t="shared" si="9"/>
        <v>128788055612.76111</v>
      </c>
      <c r="J38" s="30">
        <f t="shared" si="9"/>
        <v>115422079240.55258</v>
      </c>
    </row>
    <row r="39" spans="1:10" ht="15.75" customHeight="1">
      <c r="A39" s="19">
        <v>2031</v>
      </c>
      <c r="B39" s="30">
        <f t="shared" ref="B39:D39" si="10">B38+($A$27*L12)</f>
        <v>1146871706436.8118</v>
      </c>
      <c r="C39" s="30">
        <f t="shared" si="10"/>
        <v>1199406216482.7925</v>
      </c>
      <c r="D39" s="30">
        <f t="shared" si="10"/>
        <v>1022471656559.5151</v>
      </c>
      <c r="E39" s="16"/>
      <c r="F39" s="8"/>
      <c r="G39" s="19">
        <v>2031</v>
      </c>
      <c r="H39" s="30">
        <f t="shared" ref="H39:J39" si="11">B39*$A$28</f>
        <v>131406593806.98032</v>
      </c>
      <c r="I39" s="30">
        <f t="shared" si="11"/>
        <v>137425907897.40187</v>
      </c>
      <c r="J39" s="30">
        <f t="shared" si="11"/>
        <v>117153049376.46849</v>
      </c>
    </row>
    <row r="40" spans="1:10" ht="15.75" customHeight="1">
      <c r="A40" s="19">
        <v>2032</v>
      </c>
      <c r="B40" s="30">
        <f t="shared" ref="B40:D40" si="12">B39+($A$27*L13)</f>
        <v>1205379765701.6799</v>
      </c>
      <c r="C40" s="30">
        <f t="shared" si="12"/>
        <v>1281218024000.4761</v>
      </c>
      <c r="D40" s="30">
        <f t="shared" si="12"/>
        <v>1030690782758.4022</v>
      </c>
      <c r="E40" s="16"/>
      <c r="F40" s="8"/>
      <c r="G40" s="19">
        <v>2032</v>
      </c>
      <c r="H40" s="30">
        <f t="shared" ref="H40:J40" si="13">B40*$A$28</f>
        <v>138110346925.22577</v>
      </c>
      <c r="I40" s="30">
        <f t="shared" si="13"/>
        <v>146799764536.07675</v>
      </c>
      <c r="J40" s="30">
        <f t="shared" si="13"/>
        <v>118094782764.60921</v>
      </c>
    </row>
    <row r="41" spans="1:10" ht="15.75" customHeight="1">
      <c r="A41" s="19">
        <v>2033</v>
      </c>
      <c r="B41" s="30">
        <f t="shared" ref="B41:D41" si="14">B40+($A$27*L14)</f>
        <v>1265614234650.7412</v>
      </c>
      <c r="C41" s="30">
        <f t="shared" si="14"/>
        <v>1369891916684.2278</v>
      </c>
      <c r="D41" s="30">
        <f t="shared" si="14"/>
        <v>1031982431522.4507</v>
      </c>
      <c r="E41" s="16"/>
      <c r="F41" s="8"/>
      <c r="G41" s="19">
        <v>2033</v>
      </c>
      <c r="H41" s="30">
        <f t="shared" ref="H41:J41" si="15">B41*$A$28</f>
        <v>145011909105.14914</v>
      </c>
      <c r="I41" s="30">
        <f t="shared" si="15"/>
        <v>156959867128.00476</v>
      </c>
      <c r="J41" s="30">
        <f t="shared" si="15"/>
        <v>118242777665.45644</v>
      </c>
    </row>
    <row r="42" spans="1:10" ht="15.75" customHeight="1">
      <c r="A42" s="19">
        <v>2034</v>
      </c>
      <c r="B42" s="30">
        <f t="shared" ref="B42:D42" si="16">B41+($A$27*L15)</f>
        <v>1327616981988.9839</v>
      </c>
      <c r="C42" s="30">
        <f t="shared" si="16"/>
        <v>1465893517245.7717</v>
      </c>
      <c r="D42" s="30">
        <f t="shared" si="16"/>
        <v>1026306147569.0884</v>
      </c>
      <c r="E42" s="21"/>
      <c r="F42" s="8"/>
      <c r="G42" s="19">
        <v>2034</v>
      </c>
      <c r="H42" s="30">
        <f t="shared" ref="H42:J42" si="17">B42*$A$28</f>
        <v>152116077591.18387</v>
      </c>
      <c r="I42" s="30">
        <f t="shared" si="17"/>
        <v>167959565925.18301</v>
      </c>
      <c r="J42" s="30">
        <f t="shared" si="17"/>
        <v>117592398782.09381</v>
      </c>
    </row>
    <row r="43" spans="1:10" ht="15.75" customHeight="1">
      <c r="A43" s="19">
        <v>2035</v>
      </c>
      <c r="B43" s="30">
        <f t="shared" ref="B43:D43" si="18">B42+($A$27*L16)</f>
        <v>1391430349732.3418</v>
      </c>
      <c r="C43" s="30">
        <f t="shared" si="18"/>
        <v>1569717168378.9648</v>
      </c>
      <c r="D43" s="30">
        <f t="shared" si="18"/>
        <v>1013620297674.5939</v>
      </c>
      <c r="E43" s="21"/>
      <c r="F43" s="8"/>
      <c r="G43" s="19">
        <v>2035</v>
      </c>
      <c r="H43" s="30">
        <f t="shared" ref="H43:J43" si="19">B43*$A$28</f>
        <v>159427703858.92014</v>
      </c>
      <c r="I43" s="30">
        <f t="shared" si="19"/>
        <v>179855501865.92096</v>
      </c>
      <c r="J43" s="30">
        <f t="shared" si="19"/>
        <v>116138875851.12769</v>
      </c>
    </row>
    <row r="44" spans="1:10" ht="15.75" customHeight="1">
      <c r="A44" s="19">
        <v>2036</v>
      </c>
      <c r="B44" s="30">
        <f t="shared" ref="B44:D44" si="20">B43+($A$27*L17)</f>
        <v>1457097119151.2874</v>
      </c>
      <c r="C44" s="30">
        <f t="shared" si="20"/>
        <v>1681887611327.5105</v>
      </c>
      <c r="D44" s="30">
        <f t="shared" si="20"/>
        <v>993882058144.98669</v>
      </c>
      <c r="E44" s="21"/>
      <c r="F44" s="8"/>
      <c r="G44" s="19">
        <v>2036</v>
      </c>
      <c r="H44" s="30">
        <f t="shared" ref="H44:J44" si="21">B44*$A$28</f>
        <v>166951689712.97995</v>
      </c>
      <c r="I44" s="30">
        <f t="shared" si="21"/>
        <v>192707798902.25101</v>
      </c>
      <c r="J44" s="30">
        <f t="shared" si="21"/>
        <v>113877302207.12317</v>
      </c>
    </row>
    <row r="45" spans="1:10" ht="15.75" customHeight="1">
      <c r="A45" s="19">
        <v>2037</v>
      </c>
      <c r="B45" s="30">
        <f t="shared" ref="B45:D45" si="22">B44+($A$27*L18)</f>
        <v>1524660473019.2385</v>
      </c>
      <c r="C45" s="30">
        <f t="shared" si="22"/>
        <v>1802961759255.1169</v>
      </c>
      <c r="D45" s="30">
        <f t="shared" si="22"/>
        <v>967047402052.72046</v>
      </c>
      <c r="E45" s="21"/>
      <c r="F45" s="8"/>
      <c r="G45" s="19">
        <v>2037</v>
      </c>
      <c r="H45" s="30">
        <f t="shared" ref="H45:J45" si="23">B45*$A$28</f>
        <v>174692982961.50452</v>
      </c>
      <c r="I45" s="30">
        <f t="shared" si="23"/>
        <v>206580267189.64075</v>
      </c>
      <c r="J45" s="30">
        <f t="shared" si="23"/>
        <v>110802633320.20638</v>
      </c>
    </row>
    <row r="46" spans="1:10" ht="15.75" customHeight="1">
      <c r="A46" s="19">
        <v>2038</v>
      </c>
      <c r="B46" s="30">
        <f t="shared" ref="B46:D46" si="24">B45+($A$27*L19)</f>
        <v>1594163953915.426</v>
      </c>
      <c r="C46" s="30">
        <f t="shared" si="24"/>
        <v>1933530570648.4297</v>
      </c>
      <c r="D46" s="30">
        <f t="shared" si="24"/>
        <v>933071086236.08264</v>
      </c>
      <c r="E46" s="21"/>
      <c r="F46" s="8"/>
      <c r="G46" s="19">
        <v>2038</v>
      </c>
      <c r="H46" s="30">
        <f t="shared" ref="H46:J46" si="25">B46*$A$28</f>
        <v>182656572638.56812</v>
      </c>
      <c r="I46" s="30">
        <f t="shared" si="25"/>
        <v>221540617738.28912</v>
      </c>
      <c r="J46" s="30">
        <f t="shared" si="25"/>
        <v>106909685306.47787</v>
      </c>
    </row>
    <row r="47" spans="1:10" ht="15.75" customHeight="1">
      <c r="A47" s="19">
        <v>2039</v>
      </c>
      <c r="B47" s="30">
        <f t="shared" ref="B47:D47" si="26">B46+($A$27*L20)</f>
        <v>1665651418317.3525</v>
      </c>
      <c r="C47" s="30">
        <f t="shared" si="26"/>
        <v>2074221028266.8201</v>
      </c>
      <c r="D47" s="30">
        <f t="shared" si="26"/>
        <v>891906638058.15466</v>
      </c>
      <c r="E47" s="21"/>
      <c r="F47" s="8"/>
      <c r="G47" s="19">
        <v>2039</v>
      </c>
      <c r="H47" s="30">
        <f t="shared" ref="H47:J47" si="27">B47*$A$28</f>
        <v>190847483744.17093</v>
      </c>
      <c r="I47" s="30">
        <f t="shared" si="27"/>
        <v>237660689157.80026</v>
      </c>
      <c r="J47" s="30">
        <f t="shared" si="27"/>
        <v>102193133410.87706</v>
      </c>
    </row>
    <row r="48" spans="1:10" ht="15.75" customHeight="1">
      <c r="A48" s="19">
        <v>2040</v>
      </c>
      <c r="B48" s="30">
        <f t="shared" ref="B48:D48" si="28">B47+($A$27*L21)</f>
        <v>1739166986202.6804</v>
      </c>
      <c r="C48" s="30">
        <f t="shared" si="28"/>
        <v>2225698229452.0596</v>
      </c>
      <c r="D48" s="30">
        <f t="shared" si="28"/>
        <v>843506341922.13342</v>
      </c>
      <c r="E48" s="21"/>
      <c r="F48" s="8"/>
      <c r="G48" s="19">
        <v>2040</v>
      </c>
      <c r="H48" s="30">
        <f t="shared" ref="H48:J48" si="29">B48*$A$28</f>
        <v>199270771469.70956</v>
      </c>
      <c r="I48" s="30">
        <f t="shared" si="29"/>
        <v>255016687161.28198</v>
      </c>
      <c r="J48" s="30">
        <f t="shared" si="29"/>
        <v>96647510462.130859</v>
      </c>
    </row>
    <row r="49" spans="8:8" ht="15.75" customHeight="1">
      <c r="H49" s="31"/>
    </row>
    <row r="50" spans="8:8" ht="15.75" customHeight="1"/>
    <row r="51" spans="8:8" ht="15.75" customHeight="1"/>
    <row r="52" spans="8:8" ht="15.75" customHeight="1"/>
    <row r="53" spans="8:8" ht="15.75" customHeight="1"/>
    <row r="54" spans="8:8" ht="15.75" customHeight="1"/>
    <row r="55" spans="8:8" ht="15.75" customHeight="1"/>
    <row r="56" spans="8:8" ht="15.75" customHeight="1"/>
    <row r="57" spans="8:8" ht="15.75" customHeight="1"/>
    <row r="58" spans="8:8" ht="15.75" customHeight="1"/>
    <row r="59" spans="8:8" ht="15.75" customHeight="1"/>
    <row r="60" spans="8:8" ht="15.75" customHeight="1"/>
    <row r="61" spans="8:8" ht="15.75" customHeight="1"/>
    <row r="62" spans="8:8" ht="15.75" customHeight="1"/>
    <row r="63" spans="8:8" ht="15.75" customHeight="1"/>
    <row r="64" spans="8:8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00"/>
  <sheetViews>
    <sheetView topLeftCell="A23" workbookViewId="0">
      <selection activeCell="B31" sqref="B31:D47"/>
    </sheetView>
  </sheetViews>
  <sheetFormatPr defaultColWidth="12.625" defaultRowHeight="15" customHeight="1"/>
  <cols>
    <col min="1" max="1" width="23" customWidth="1"/>
    <col min="2" max="4" width="15.375" customWidth="1"/>
    <col min="5" max="7" width="10.625" customWidth="1"/>
    <col min="8" max="10" width="15.375" customWidth="1"/>
    <col min="11" max="11" width="10.625" customWidth="1"/>
    <col min="12" max="12" width="13.375" customWidth="1"/>
    <col min="13" max="20" width="10.625" customWidth="1"/>
  </cols>
  <sheetData>
    <row r="1" spans="1:20" ht="15.75" customHeight="1">
      <c r="A1" s="5" t="s">
        <v>149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7"/>
      <c r="Q1" s="7"/>
      <c r="R1" s="7"/>
      <c r="S1" s="7"/>
      <c r="T1" s="7"/>
    </row>
    <row r="2" spans="1:20" ht="15.75" customHeight="1">
      <c r="A2" s="3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8"/>
      <c r="Q2" s="8"/>
      <c r="R2" s="8"/>
      <c r="S2" s="8"/>
      <c r="T2" s="8"/>
    </row>
    <row r="3" spans="1:20" ht="16.5" customHeight="1">
      <c r="A3" s="9" t="s">
        <v>165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8"/>
      <c r="Q3" s="8"/>
      <c r="R3" s="8"/>
      <c r="S3" s="8"/>
      <c r="T3" s="8"/>
    </row>
    <row r="4" spans="1:20" ht="15.75" customHeight="1">
      <c r="A4" s="9" t="s">
        <v>166</v>
      </c>
    </row>
    <row r="5" spans="1:20" ht="15.75" customHeight="1">
      <c r="A5" s="17"/>
      <c r="B5" s="11" t="s">
        <v>155</v>
      </c>
      <c r="C5" s="11" t="s">
        <v>156</v>
      </c>
      <c r="D5" s="11" t="s">
        <v>157</v>
      </c>
      <c r="G5" s="22"/>
      <c r="H5" s="22"/>
      <c r="I5" s="22"/>
      <c r="J5" s="22"/>
    </row>
    <row r="6" spans="1:20" ht="15.75" customHeight="1">
      <c r="A6" s="33" t="s">
        <v>167</v>
      </c>
      <c r="B6" s="34">
        <v>-5.3E-3</v>
      </c>
      <c r="C6" s="11"/>
      <c r="D6" s="34">
        <v>-1.06E-2</v>
      </c>
      <c r="G6" s="22"/>
      <c r="H6" s="22"/>
      <c r="I6" s="22"/>
      <c r="J6" s="22"/>
    </row>
    <row r="7" spans="1:20" ht="15.75" customHeight="1">
      <c r="A7" s="17">
        <v>2025</v>
      </c>
      <c r="B7" s="35">
        <v>766482271</v>
      </c>
      <c r="C7" s="35">
        <v>795062778</v>
      </c>
      <c r="D7" s="35">
        <v>766482271</v>
      </c>
      <c r="G7" s="22"/>
      <c r="H7" s="22"/>
      <c r="I7" s="22"/>
      <c r="J7" s="22"/>
      <c r="L7" s="22"/>
    </row>
    <row r="8" spans="1:20" ht="15.75" customHeight="1">
      <c r="A8" s="17">
        <v>2026</v>
      </c>
      <c r="B8" s="36">
        <v>718632058.41869414</v>
      </c>
      <c r="C8" s="36">
        <v>791927554.92307651</v>
      </c>
      <c r="D8" s="36">
        <v>673534522.39533842</v>
      </c>
      <c r="G8" s="22"/>
      <c r="H8" s="22"/>
      <c r="I8" s="22"/>
      <c r="J8" s="22"/>
    </row>
    <row r="9" spans="1:20" ht="15.75" customHeight="1">
      <c r="A9" s="17">
        <v>2027</v>
      </c>
      <c r="B9" s="36">
        <v>673769054.97542727</v>
      </c>
      <c r="C9" s="36">
        <v>795691221.73388827</v>
      </c>
      <c r="D9" s="36">
        <v>591858115.99589717</v>
      </c>
      <c r="G9" s="22"/>
      <c r="H9" s="22"/>
      <c r="I9" s="22"/>
      <c r="J9" s="22"/>
    </row>
    <row r="10" spans="1:20" ht="15.75" customHeight="1">
      <c r="A10" s="17">
        <v>2028</v>
      </c>
      <c r="B10" s="36">
        <v>631706774.17509317</v>
      </c>
      <c r="C10" s="36">
        <v>798931154.51705074</v>
      </c>
      <c r="D10" s="36">
        <v>520086228.43032652</v>
      </c>
      <c r="G10" s="22"/>
      <c r="H10" s="22"/>
      <c r="I10" s="22"/>
      <c r="J10" s="22"/>
    </row>
    <row r="11" spans="1:20" ht="15.75" customHeight="1">
      <c r="A11" s="17">
        <v>2029</v>
      </c>
      <c r="B11" s="36">
        <v>592270371.56411982</v>
      </c>
      <c r="C11" s="36">
        <v>801052808.66659284</v>
      </c>
      <c r="D11" s="36">
        <v>457017784.65559959</v>
      </c>
      <c r="G11" s="22"/>
      <c r="H11" s="22"/>
      <c r="I11" s="22"/>
      <c r="J11" s="22"/>
    </row>
    <row r="12" spans="1:20" ht="15.75" customHeight="1">
      <c r="A12" s="17">
        <v>2030</v>
      </c>
      <c r="B12" s="36">
        <v>555295917.93719149</v>
      </c>
      <c r="C12" s="36">
        <v>803935127.30339897</v>
      </c>
      <c r="D12" s="36">
        <v>401597358.42629153</v>
      </c>
      <c r="G12" s="22"/>
      <c r="H12" s="22"/>
      <c r="I12" s="22"/>
      <c r="J12" s="22"/>
    </row>
    <row r="13" spans="1:20" ht="15.75" customHeight="1">
      <c r="A13" s="17">
        <v>2031</v>
      </c>
      <c r="B13" s="36">
        <v>520629717.91646588</v>
      </c>
      <c r="C13" s="36">
        <v>806179198.19033992</v>
      </c>
      <c r="D13" s="36">
        <v>352897510.14069021</v>
      </c>
      <c r="G13" s="22"/>
      <c r="H13" s="22"/>
      <c r="I13" s="22"/>
      <c r="J13" s="22"/>
    </row>
    <row r="14" spans="1:20" ht="15.75" customHeight="1">
      <c r="A14" s="17">
        <v>2032</v>
      </c>
      <c r="B14" s="36">
        <v>488127671.07075578</v>
      </c>
      <c r="C14" s="36">
        <v>807827391.67908406</v>
      </c>
      <c r="D14" s="36">
        <v>310103266.49435818</v>
      </c>
      <c r="G14" s="22"/>
      <c r="H14" s="22"/>
      <c r="I14" s="22"/>
      <c r="J14" s="22"/>
    </row>
    <row r="15" spans="1:20" ht="15.75" customHeight="1">
      <c r="A15" s="17">
        <v>2033</v>
      </c>
      <c r="B15" s="36">
        <v>457654672.91897804</v>
      </c>
      <c r="C15" s="36">
        <v>809585096.82921934</v>
      </c>
      <c r="D15" s="36">
        <v>272498482.21409404</v>
      </c>
      <c r="G15" s="22"/>
      <c r="H15" s="22"/>
      <c r="I15" s="22"/>
      <c r="J15" s="22"/>
    </row>
    <row r="16" spans="1:20" ht="15.75" customHeight="1">
      <c r="A16" s="17">
        <v>2034</v>
      </c>
      <c r="B16" s="36">
        <v>429084053.3279593</v>
      </c>
      <c r="C16" s="36">
        <v>811217839.52631068</v>
      </c>
      <c r="D16" s="36">
        <v>239453855.6411365</v>
      </c>
      <c r="G16" s="22"/>
      <c r="H16" s="22"/>
      <c r="I16" s="22"/>
      <c r="J16" s="22"/>
    </row>
    <row r="17" spans="1:20" ht="15.75" customHeight="1">
      <c r="A17" s="17">
        <v>2035</v>
      </c>
      <c r="B17" s="36">
        <v>402297049.97013313</v>
      </c>
      <c r="C17" s="36">
        <v>812742827.61242306</v>
      </c>
      <c r="D17" s="36">
        <v>210416397.60898685</v>
      </c>
      <c r="G17" s="22"/>
      <c r="H17" s="22"/>
      <c r="I17" s="22"/>
      <c r="J17" s="22"/>
    </row>
    <row r="18" spans="1:20" ht="15.75" customHeight="1">
      <c r="A18" s="17">
        <v>2036</v>
      </c>
      <c r="B18" s="36">
        <v>377182314.6523959</v>
      </c>
      <c r="C18" s="36">
        <v>814339869.99447584</v>
      </c>
      <c r="D18" s="36">
        <v>184900177.38155431</v>
      </c>
      <c r="G18" s="22"/>
      <c r="H18" s="22"/>
      <c r="I18" s="22"/>
      <c r="J18" s="22"/>
    </row>
    <row r="19" spans="1:20" ht="15.75" customHeight="1">
      <c r="A19" s="17">
        <v>2037</v>
      </c>
      <c r="B19" s="36">
        <v>353635450.46403146</v>
      </c>
      <c r="C19" s="36">
        <v>815944699.54074454</v>
      </c>
      <c r="D19" s="36">
        <v>162478190.78844488</v>
      </c>
      <c r="G19" s="22"/>
      <c r="H19" s="22"/>
      <c r="I19" s="22"/>
      <c r="J19" s="22"/>
    </row>
    <row r="20" spans="1:20" ht="15.75" customHeight="1">
      <c r="A20" s="17">
        <v>2038</v>
      </c>
      <c r="B20" s="36">
        <v>331558577.81971973</v>
      </c>
      <c r="C20" s="36">
        <v>817543553.18759394</v>
      </c>
      <c r="D20" s="36">
        <v>142775214.47375256</v>
      </c>
      <c r="G20" s="22"/>
      <c r="H20" s="22"/>
      <c r="I20" s="22"/>
      <c r="J20" s="22"/>
    </row>
    <row r="21" spans="1:20" ht="15.75" customHeight="1">
      <c r="A21" s="17">
        <v>2039</v>
      </c>
      <c r="B21" s="36">
        <v>310859927.59375912</v>
      </c>
      <c r="C21" s="36">
        <v>819171020.9744575</v>
      </c>
      <c r="D21" s="36">
        <v>125461526.67694382</v>
      </c>
      <c r="G21" s="22"/>
      <c r="H21" s="22"/>
      <c r="I21" s="22"/>
      <c r="J21" s="22"/>
    </row>
    <row r="22" spans="1:20" ht="15.75" customHeight="1">
      <c r="A22" s="17">
        <v>2040</v>
      </c>
      <c r="B22" s="36">
        <v>291453459.65424073</v>
      </c>
      <c r="C22" s="36">
        <v>820806354.01813579</v>
      </c>
      <c r="D22" s="36">
        <v>110247389.46550974</v>
      </c>
      <c r="G22" s="22"/>
      <c r="H22" s="22"/>
      <c r="I22" s="22"/>
      <c r="J22" s="22"/>
    </row>
    <row r="23" spans="1:20" ht="15.75" customHeight="1"/>
    <row r="24" spans="1:20" ht="15.75" customHeight="1"/>
    <row r="25" spans="1:20" ht="15.75" customHeight="1">
      <c r="A25" s="5" t="s">
        <v>159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7"/>
      <c r="Q25" s="7"/>
      <c r="R25" s="7"/>
      <c r="S25" s="7"/>
      <c r="T25" s="6"/>
    </row>
    <row r="26" spans="1:20" ht="15.75" customHeight="1">
      <c r="A26" t="s">
        <v>168</v>
      </c>
      <c r="F26" s="22"/>
    </row>
    <row r="27" spans="1:20" ht="15.75" customHeight="1">
      <c r="A27" s="37">
        <f>aux!E64</f>
        <v>0.16692947837536837</v>
      </c>
      <c r="B27" t="s">
        <v>169</v>
      </c>
    </row>
    <row r="28" spans="1:20" ht="15.75" customHeight="1">
      <c r="A28" s="38">
        <v>0.8</v>
      </c>
      <c r="B28" t="s">
        <v>170</v>
      </c>
    </row>
    <row r="29" spans="1:20" ht="16.5" customHeight="1"/>
    <row r="30" spans="1:20" ht="15.75" customHeight="1">
      <c r="A30" s="26" t="s">
        <v>164</v>
      </c>
      <c r="B30" s="28"/>
      <c r="C30" s="28"/>
      <c r="D30" s="28"/>
    </row>
    <row r="31" spans="1:20" ht="15.75" customHeight="1">
      <c r="A31" s="17"/>
      <c r="B31" s="11" t="s">
        <v>155</v>
      </c>
      <c r="C31" s="11" t="s">
        <v>156</v>
      </c>
      <c r="D31" s="11" t="s">
        <v>157</v>
      </c>
    </row>
    <row r="32" spans="1:20" ht="15.75" customHeight="1">
      <c r="A32" s="17">
        <v>2025</v>
      </c>
      <c r="B32" s="35">
        <f t="shared" ref="B32:D32" si="0">B7*$A$27*$A$28</f>
        <v>102358788.54559819</v>
      </c>
      <c r="C32" s="35">
        <f t="shared" si="0"/>
        <v>106175531.84576905</v>
      </c>
      <c r="D32" s="35">
        <f t="shared" si="0"/>
        <v>102358788.54559819</v>
      </c>
    </row>
    <row r="33" spans="1:4" ht="15.75" customHeight="1">
      <c r="A33" s="17">
        <v>2026</v>
      </c>
      <c r="B33" s="36">
        <f t="shared" ref="B33:D33" si="1">B8*$A$27*$A$28</f>
        <v>95968699.724519894</v>
      </c>
      <c r="C33" s="36">
        <f t="shared" si="1"/>
        <v>105756842.92351204</v>
      </c>
      <c r="D33" s="36">
        <f t="shared" si="1"/>
        <v>89946213.193005368</v>
      </c>
    </row>
    <row r="34" spans="1:4" ht="15.75" customHeight="1">
      <c r="A34" s="17">
        <v>2027</v>
      </c>
      <c r="B34" s="36">
        <f t="shared" ref="B34:D34" si="2">B9*$A$27*$A$28</f>
        <v>89977533.51401037</v>
      </c>
      <c r="C34" s="36">
        <f t="shared" si="2"/>
        <v>106259456.47351803</v>
      </c>
      <c r="D34" s="36">
        <f t="shared" si="2"/>
        <v>79038853.260338709</v>
      </c>
    </row>
    <row r="35" spans="1:4" ht="15.75" customHeight="1">
      <c r="A35" s="17">
        <v>2028</v>
      </c>
      <c r="B35" s="36">
        <f t="shared" ref="B35:D35" si="3">B10*$A$27*$A$28</f>
        <v>84360385.839387953</v>
      </c>
      <c r="C35" s="36">
        <f t="shared" si="3"/>
        <v>106692128.70508969</v>
      </c>
      <c r="D35" s="36">
        <f t="shared" si="3"/>
        <v>69454178.257669672</v>
      </c>
    </row>
    <row r="36" spans="1:4" ht="15.75" customHeight="1">
      <c r="A36" s="17">
        <v>2029</v>
      </c>
      <c r="B36" s="36">
        <f t="shared" ref="B36:D36" si="4">B11*$A$27*$A$28</f>
        <v>79093907.345907316</v>
      </c>
      <c r="C36" s="36">
        <f t="shared" si="4"/>
        <v>106975462.00147049</v>
      </c>
      <c r="D36" s="36">
        <f t="shared" si="4"/>
        <v>61031792.320660532</v>
      </c>
    </row>
    <row r="37" spans="1:4" ht="15.75" customHeight="1">
      <c r="A37" s="17">
        <v>2030</v>
      </c>
      <c r="B37" s="36">
        <f t="shared" ref="B37:D37" si="5">B12*$A$27*$A$28</f>
        <v>74156206.340181395</v>
      </c>
      <c r="C37" s="36">
        <f t="shared" si="5"/>
        <v>107360377.1587134</v>
      </c>
      <c r="D37" s="36">
        <f t="shared" si="5"/>
        <v>53630750.047221355</v>
      </c>
    </row>
    <row r="38" spans="1:4" ht="15.75" customHeight="1">
      <c r="A38" s="17">
        <v>2031</v>
      </c>
      <c r="B38" s="36">
        <f t="shared" ref="B38:D38" si="6">B13*$A$27*$A$28</f>
        <v>69526757.790808663</v>
      </c>
      <c r="C38" s="36">
        <f t="shared" si="6"/>
        <v>107660058.42478894</v>
      </c>
      <c r="D38" s="36">
        <f t="shared" si="6"/>
        <v>47127197.83020135</v>
      </c>
    </row>
    <row r="39" spans="1:4" ht="15.75" customHeight="1">
      <c r="A39" s="17">
        <v>2032</v>
      </c>
      <c r="B39" s="36">
        <f t="shared" ref="B39:D39" si="7">B14*$A$27*$A$28</f>
        <v>65186318.009939723</v>
      </c>
      <c r="C39" s="36">
        <f t="shared" si="7"/>
        <v>107880164.08825913</v>
      </c>
      <c r="D39" s="36">
        <f t="shared" si="7"/>
        <v>41412301.214720845</v>
      </c>
    </row>
    <row r="40" spans="1:4" ht="15.75" customHeight="1">
      <c r="A40" s="17">
        <v>2033</v>
      </c>
      <c r="B40" s="36">
        <f t="shared" ref="B40:D40" si="8">B15*$A$27*$A$28</f>
        <v>61116844.661131859</v>
      </c>
      <c r="C40" s="36">
        <f t="shared" si="8"/>
        <v>108114894.33133894</v>
      </c>
      <c r="D40" s="36">
        <f t="shared" si="8"/>
        <v>36390423.595262654</v>
      </c>
    </row>
    <row r="41" spans="1:4" ht="15.75" customHeight="1">
      <c r="A41" s="17">
        <v>2034</v>
      </c>
      <c r="B41" s="36">
        <f t="shared" ref="B41:D41" si="9">B16*$A$27*$A$28</f>
        <v>57301421.760979988</v>
      </c>
      <c r="C41" s="36">
        <f t="shared" si="9"/>
        <v>108332936.64073628</v>
      </c>
      <c r="D41" s="36">
        <f t="shared" si="9"/>
        <v>31977525.773716539</v>
      </c>
    </row>
    <row r="42" spans="1:4" ht="15.75" customHeight="1">
      <c r="A42" s="17">
        <v>2035</v>
      </c>
      <c r="B42" s="36">
        <f t="shared" ref="B42:D42" si="10">B17*$A$27*$A$28</f>
        <v>53724189.362771064</v>
      </c>
      <c r="C42" s="36">
        <f t="shared" si="10"/>
        <v>108536589.013331</v>
      </c>
      <c r="D42" s="36">
        <f t="shared" si="10"/>
        <v>28099759.595593829</v>
      </c>
    </row>
    <row r="43" spans="1:4" ht="15.75" customHeight="1">
      <c r="A43" s="17">
        <v>2036</v>
      </c>
      <c r="B43" s="36">
        <f t="shared" ref="B43:D43" si="11">B18*$A$27*$A$28</f>
        <v>50370277.62987081</v>
      </c>
      <c r="C43" s="36">
        <f t="shared" si="11"/>
        <v>108749863.77475452</v>
      </c>
      <c r="D43" s="36">
        <f t="shared" si="11"/>
        <v>24692232.129452758</v>
      </c>
    </row>
    <row r="44" spans="1:4" ht="15.75" customHeight="1">
      <c r="A44" s="17">
        <v>2037</v>
      </c>
      <c r="B44" s="36">
        <f t="shared" ref="B44:D44" si="12">B19*$A$27*$A$28</f>
        <v>47225745.024799354</v>
      </c>
      <c r="C44" s="36">
        <f t="shared" si="12"/>
        <v>108964178.46198653</v>
      </c>
      <c r="D44" s="36">
        <f t="shared" si="12"/>
        <v>21697919.708550949</v>
      </c>
    </row>
    <row r="45" spans="1:4" ht="15.75" customHeight="1">
      <c r="A45" s="17">
        <v>2038</v>
      </c>
      <c r="B45" s="36">
        <f t="shared" ref="B45:D45" si="13">B20*$A$27*$A$28</f>
        <v>44277520.357059836</v>
      </c>
      <c r="C45" s="36">
        <f t="shared" si="13"/>
        <v>109177695.10620022</v>
      </c>
      <c r="D45" s="36">
        <f t="shared" si="13"/>
        <v>19066713.661627885</v>
      </c>
    </row>
    <row r="46" spans="1:4" ht="15.75" customHeight="1">
      <c r="A46" s="17">
        <v>2039</v>
      </c>
      <c r="B46" s="36">
        <f t="shared" ref="B46:D46" si="14">B21*$A$27*$A$28</f>
        <v>41513348.448824793</v>
      </c>
      <c r="C46" s="36">
        <f t="shared" si="14"/>
        <v>109395032.98518732</v>
      </c>
      <c r="D46" s="36">
        <f t="shared" si="14"/>
        <v>16754581.763487676</v>
      </c>
    </row>
    <row r="47" spans="1:4" ht="15.75" customHeight="1">
      <c r="A47" s="17">
        <v>2040</v>
      </c>
      <c r="B47" s="36">
        <f t="shared" ref="B47:D47" si="15">B22*$A$27*$A$28</f>
        <v>38921739.192623101</v>
      </c>
      <c r="C47" s="36">
        <f t="shared" si="15"/>
        <v>109613421.21874829</v>
      </c>
      <c r="D47" s="36">
        <f t="shared" si="15"/>
        <v>14722831.372578898</v>
      </c>
    </row>
    <row r="48" spans="1:4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"/>
  <sheetViews>
    <sheetView workbookViewId="0"/>
  </sheetViews>
  <sheetFormatPr defaultColWidth="12.625" defaultRowHeight="15" customHeight="1"/>
  <cols>
    <col min="1" max="1" width="10.875" customWidth="1"/>
    <col min="2" max="2" width="14.125" customWidth="1"/>
    <col min="3" max="3" width="13.625" customWidth="1"/>
    <col min="4" max="4" width="22.625" customWidth="1"/>
    <col min="5" max="5" width="10.875" customWidth="1"/>
    <col min="6" max="6" width="15" customWidth="1"/>
    <col min="7" max="7" width="14.125" customWidth="1"/>
    <col min="8" max="8" width="10.875" customWidth="1"/>
    <col min="9" max="11" width="10.625" customWidth="1"/>
  </cols>
  <sheetData>
    <row r="1" spans="1:11" ht="12.75" customHeight="1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</row>
    <row r="2" spans="1:11" ht="12.75" customHeight="1">
      <c r="A2" s="40" t="s">
        <v>3</v>
      </c>
      <c r="B2" s="41"/>
      <c r="C2" s="41"/>
      <c r="D2" s="41"/>
      <c r="E2" s="41"/>
      <c r="F2" s="41"/>
      <c r="G2" s="41"/>
      <c r="H2" s="41"/>
      <c r="I2" s="41"/>
      <c r="J2" s="41"/>
      <c r="K2" s="41"/>
    </row>
    <row r="3" spans="1:11" ht="12.75" customHeight="1">
      <c r="A3" s="42" t="s">
        <v>171</v>
      </c>
      <c r="B3" s="42" t="s">
        <v>172</v>
      </c>
      <c r="C3" s="42" t="s">
        <v>152</v>
      </c>
      <c r="D3" s="42" t="s">
        <v>173</v>
      </c>
      <c r="E3" s="39"/>
      <c r="F3" s="42" t="s">
        <v>174</v>
      </c>
      <c r="G3" s="42" t="s">
        <v>175</v>
      </c>
      <c r="H3" s="43" t="s">
        <v>176</v>
      </c>
      <c r="I3" s="39"/>
      <c r="J3" s="39"/>
      <c r="K3" s="39"/>
    </row>
    <row r="4" spans="1:11" ht="12.75" customHeight="1">
      <c r="A4" s="44">
        <v>2000</v>
      </c>
      <c r="B4" s="45">
        <v>18708530527.099998</v>
      </c>
      <c r="C4" s="45">
        <v>17198040442.66</v>
      </c>
      <c r="D4" s="45">
        <f t="shared" ref="D4:D29" si="0">B4-C4</f>
        <v>1510490084.4399986</v>
      </c>
      <c r="E4" s="39"/>
      <c r="F4" s="44"/>
      <c r="G4" s="39"/>
      <c r="H4" s="39"/>
      <c r="I4" s="39"/>
      <c r="J4" s="39"/>
      <c r="K4" s="39"/>
    </row>
    <row r="5" spans="1:11" ht="12.75" customHeight="1">
      <c r="A5" s="44">
        <v>2001</v>
      </c>
      <c r="B5" s="45">
        <v>21074052206.150002</v>
      </c>
      <c r="C5" s="45">
        <v>18772345011.529999</v>
      </c>
      <c r="D5" s="45">
        <f t="shared" si="0"/>
        <v>2301707194.6200027</v>
      </c>
      <c r="E5" s="39"/>
      <c r="F5" s="44"/>
      <c r="G5" s="39"/>
      <c r="H5" s="39"/>
      <c r="I5" s="39"/>
      <c r="J5" s="39"/>
      <c r="K5" s="39"/>
    </row>
    <row r="6" spans="1:11" ht="12.75" customHeight="1">
      <c r="A6" s="44">
        <v>2002</v>
      </c>
      <c r="B6" s="45">
        <v>22421996700.43</v>
      </c>
      <c r="C6" s="45">
        <v>19635024349.499996</v>
      </c>
      <c r="D6" s="45">
        <f t="shared" si="0"/>
        <v>2786972350.9300041</v>
      </c>
      <c r="E6" s="39"/>
      <c r="F6" s="46">
        <v>139515721386.14001</v>
      </c>
      <c r="G6" s="39"/>
      <c r="H6" s="39"/>
      <c r="I6" s="39"/>
      <c r="J6" s="39"/>
      <c r="K6" s="39"/>
    </row>
    <row r="7" spans="1:11" ht="12.75" customHeight="1">
      <c r="A7" s="44">
        <v>2003</v>
      </c>
      <c r="B7" s="45">
        <v>24956352242.580002</v>
      </c>
      <c r="C7" s="45">
        <v>20372313818.330002</v>
      </c>
      <c r="D7" s="45">
        <f t="shared" si="0"/>
        <v>4584038424.25</v>
      </c>
      <c r="E7" s="39"/>
      <c r="F7" s="46">
        <v>153750567720.91</v>
      </c>
      <c r="G7" s="46">
        <f t="shared" ref="G7:G29" si="1">F7-F6</f>
        <v>14234846334.769989</v>
      </c>
      <c r="H7" s="47">
        <f t="shared" ref="H7:H29" si="2">G7/D7</f>
        <v>3.1053069405933194</v>
      </c>
      <c r="I7" s="39"/>
      <c r="J7" s="39"/>
      <c r="K7" s="39"/>
    </row>
    <row r="8" spans="1:11" ht="12.75" customHeight="1">
      <c r="A8" s="44">
        <v>2004</v>
      </c>
      <c r="B8" s="45">
        <v>28269333316.920002</v>
      </c>
      <c r="C8" s="45">
        <v>22088961597.52</v>
      </c>
      <c r="D8" s="45">
        <f t="shared" si="0"/>
        <v>6180371719.4000015</v>
      </c>
      <c r="E8" s="39"/>
      <c r="F8" s="46">
        <v>160508072260.03</v>
      </c>
      <c r="G8" s="46">
        <f t="shared" si="1"/>
        <v>6757504539.1199951</v>
      </c>
      <c r="H8" s="47">
        <f t="shared" si="2"/>
        <v>1.0933815708703072</v>
      </c>
      <c r="I8" s="39"/>
      <c r="J8" s="39"/>
      <c r="K8" s="39"/>
    </row>
    <row r="9" spans="1:11" ht="12.75" customHeight="1">
      <c r="A9" s="44">
        <v>2005</v>
      </c>
      <c r="B9" s="45">
        <v>32247877017.270004</v>
      </c>
      <c r="C9" s="45">
        <v>25951044644.810001</v>
      </c>
      <c r="D9" s="45">
        <f t="shared" si="0"/>
        <v>6296832372.4600029</v>
      </c>
      <c r="E9" s="39"/>
      <c r="F9" s="46">
        <v>172711648632.79999</v>
      </c>
      <c r="G9" s="46">
        <f t="shared" si="1"/>
        <v>12203576372.769989</v>
      </c>
      <c r="H9" s="47">
        <f t="shared" si="2"/>
        <v>1.9380500624637687</v>
      </c>
      <c r="I9" s="39"/>
      <c r="J9" s="39"/>
      <c r="K9" s="39"/>
    </row>
    <row r="10" spans="1:11" ht="12.75" customHeight="1">
      <c r="A10" s="44">
        <v>2006</v>
      </c>
      <c r="B10" s="45">
        <v>36505404629.330002</v>
      </c>
      <c r="C10" s="45">
        <v>29691933620.700001</v>
      </c>
      <c r="D10" s="45">
        <f t="shared" si="0"/>
        <v>6813471008.6300011</v>
      </c>
      <c r="E10" s="39"/>
      <c r="F10" s="46">
        <v>186145960429.54001</v>
      </c>
      <c r="G10" s="46">
        <f t="shared" si="1"/>
        <v>13434311796.740021</v>
      </c>
      <c r="H10" s="47">
        <f t="shared" si="2"/>
        <v>1.9717280340261234</v>
      </c>
      <c r="I10" s="39"/>
      <c r="J10" s="39"/>
      <c r="K10" s="39"/>
    </row>
    <row r="11" spans="1:11" ht="12.75" customHeight="1">
      <c r="A11" s="44">
        <v>2007</v>
      </c>
      <c r="B11" s="45">
        <v>41630508849.160004</v>
      </c>
      <c r="C11" s="45">
        <v>38379254418.870003</v>
      </c>
      <c r="D11" s="45">
        <f t="shared" si="0"/>
        <v>3251254430.2900009</v>
      </c>
      <c r="E11" s="39"/>
      <c r="F11" s="46">
        <v>197998468118.01001</v>
      </c>
      <c r="G11" s="46">
        <f t="shared" si="1"/>
        <v>11852507688.470001</v>
      </c>
      <c r="H11" s="47">
        <f t="shared" si="2"/>
        <v>3.6455183507163409</v>
      </c>
      <c r="I11" s="39"/>
      <c r="J11" s="39"/>
      <c r="K11" s="39"/>
    </row>
    <row r="12" spans="1:11" ht="12.75" customHeight="1">
      <c r="A12" s="44">
        <v>2008</v>
      </c>
      <c r="B12" s="45">
        <v>48714379836.639999</v>
      </c>
      <c r="C12" s="45">
        <v>42679425001.209999</v>
      </c>
      <c r="D12" s="45">
        <f t="shared" si="0"/>
        <v>6034954835.4300003</v>
      </c>
      <c r="E12" s="39"/>
      <c r="F12" s="46">
        <v>217433311424.54001</v>
      </c>
      <c r="G12" s="46">
        <f t="shared" si="1"/>
        <v>19434843306.529999</v>
      </c>
      <c r="H12" s="47">
        <f t="shared" si="2"/>
        <v>3.2203792466568202</v>
      </c>
      <c r="I12" s="39"/>
      <c r="J12" s="39"/>
      <c r="K12" s="39"/>
    </row>
    <row r="13" spans="1:11" ht="12.75" customHeight="1">
      <c r="A13" s="44">
        <v>2009</v>
      </c>
      <c r="B13" s="45">
        <v>54725947860.409996</v>
      </c>
      <c r="C13" s="45">
        <v>47824762276.459999</v>
      </c>
      <c r="D13" s="45">
        <f t="shared" si="0"/>
        <v>6901185583.9499969</v>
      </c>
      <c r="E13" s="39"/>
      <c r="F13" s="46">
        <v>235064770486.81998</v>
      </c>
      <c r="G13" s="46">
        <f t="shared" si="1"/>
        <v>17631459062.279968</v>
      </c>
      <c r="H13" s="47">
        <f t="shared" si="2"/>
        <v>2.5548449390037034</v>
      </c>
      <c r="I13" s="39"/>
      <c r="J13" s="39"/>
      <c r="K13" s="39"/>
    </row>
    <row r="14" spans="1:11" ht="12.75" customHeight="1">
      <c r="A14" s="44">
        <v>2010</v>
      </c>
      <c r="B14" s="45">
        <v>61797213442.769997</v>
      </c>
      <c r="C14" s="45">
        <v>49890310136.849998</v>
      </c>
      <c r="D14" s="45">
        <f t="shared" si="0"/>
        <v>11906903305.919998</v>
      </c>
      <c r="E14" s="39"/>
      <c r="F14" s="46">
        <v>260313213745.62003</v>
      </c>
      <c r="G14" s="46">
        <f t="shared" si="1"/>
        <v>25248443258.800049</v>
      </c>
      <c r="H14" s="47">
        <f t="shared" si="2"/>
        <v>2.120487805275681</v>
      </c>
      <c r="I14" s="39"/>
      <c r="J14" s="39"/>
      <c r="K14" s="39"/>
    </row>
    <row r="15" spans="1:11" ht="12.75" customHeight="1">
      <c r="A15" s="44">
        <v>2011</v>
      </c>
      <c r="B15" s="45">
        <v>72260939292.619995</v>
      </c>
      <c r="C15" s="45">
        <v>57646929757.990005</v>
      </c>
      <c r="D15" s="45">
        <f t="shared" si="0"/>
        <v>14614009534.62999</v>
      </c>
      <c r="E15" s="39"/>
      <c r="F15" s="46">
        <v>290327940826.62006</v>
      </c>
      <c r="G15" s="46">
        <f t="shared" si="1"/>
        <v>30014727081.000031</v>
      </c>
      <c r="H15" s="47">
        <f t="shared" si="2"/>
        <v>2.0538324550751001</v>
      </c>
      <c r="I15" s="39"/>
      <c r="J15" s="39"/>
      <c r="K15" s="39"/>
    </row>
    <row r="16" spans="1:11" ht="12.75" customHeight="1">
      <c r="A16" s="44">
        <v>2012</v>
      </c>
      <c r="B16" s="45">
        <v>83033513518.830002</v>
      </c>
      <c r="C16" s="45">
        <v>65049000360.25</v>
      </c>
      <c r="D16" s="45">
        <f t="shared" si="0"/>
        <v>17984513158.580002</v>
      </c>
      <c r="E16" s="39"/>
      <c r="F16" s="46">
        <v>325863184317.64001</v>
      </c>
      <c r="G16" s="46">
        <f t="shared" si="1"/>
        <v>35535243491.019958</v>
      </c>
      <c r="H16" s="47">
        <f t="shared" si="2"/>
        <v>1.9758802019095469</v>
      </c>
      <c r="I16" s="39"/>
      <c r="J16" s="39"/>
      <c r="K16" s="39"/>
    </row>
    <row r="17" spans="1:11" ht="12.75" customHeight="1">
      <c r="A17" s="44">
        <v>2013</v>
      </c>
      <c r="B17" s="45">
        <v>94415141165.539993</v>
      </c>
      <c r="C17" s="45">
        <v>75663002033.880005</v>
      </c>
      <c r="D17" s="45">
        <f t="shared" si="0"/>
        <v>18752139131.659988</v>
      </c>
      <c r="E17" s="39"/>
      <c r="F17" s="46">
        <v>365317360349.98004</v>
      </c>
      <c r="G17" s="46">
        <f t="shared" si="1"/>
        <v>39454176032.340027</v>
      </c>
      <c r="H17" s="47">
        <f t="shared" si="2"/>
        <v>2.1039826846062568</v>
      </c>
      <c r="I17" s="39"/>
      <c r="J17" s="39"/>
      <c r="K17" s="39"/>
    </row>
    <row r="18" spans="1:11" ht="12.75" customHeight="1">
      <c r="A18" s="44">
        <v>2014</v>
      </c>
      <c r="B18" s="45">
        <v>104744192951.53999</v>
      </c>
      <c r="C18" s="45">
        <v>86320173011.540009</v>
      </c>
      <c r="D18" s="45">
        <f t="shared" si="0"/>
        <v>18424019939.999985</v>
      </c>
      <c r="E18" s="39"/>
      <c r="F18" s="46">
        <v>410386357717.15997</v>
      </c>
      <c r="G18" s="46">
        <f t="shared" si="1"/>
        <v>45068997367.179932</v>
      </c>
      <c r="H18" s="47">
        <f t="shared" si="2"/>
        <v>2.446208672914624</v>
      </c>
      <c r="I18" s="39"/>
      <c r="J18" s="39"/>
      <c r="K18" s="39"/>
    </row>
    <row r="19" spans="1:11" ht="12.75" customHeight="1">
      <c r="A19" s="44">
        <v>2015</v>
      </c>
      <c r="B19" s="45">
        <v>113529384750.97998</v>
      </c>
      <c r="C19" s="45">
        <v>99124208039.139999</v>
      </c>
      <c r="D19" s="45">
        <f t="shared" si="0"/>
        <v>14405176711.839981</v>
      </c>
      <c r="E19" s="39"/>
      <c r="F19" s="46">
        <v>457608646527.56</v>
      </c>
      <c r="G19" s="46">
        <f t="shared" si="1"/>
        <v>47222288810.400024</v>
      </c>
      <c r="H19" s="47">
        <f t="shared" si="2"/>
        <v>3.278147138006771</v>
      </c>
      <c r="I19" s="39"/>
      <c r="J19" s="39"/>
      <c r="K19" s="39"/>
    </row>
    <row r="20" spans="1:11" ht="12.75" customHeight="1">
      <c r="A20" s="44">
        <v>2016</v>
      </c>
      <c r="B20" s="45">
        <v>119089336907.90001</v>
      </c>
      <c r="C20" s="45">
        <v>108892614296.48</v>
      </c>
      <c r="D20" s="45">
        <f t="shared" si="0"/>
        <v>10196722611.420013</v>
      </c>
      <c r="E20" s="39"/>
      <c r="F20" s="46">
        <v>505281518213.96002</v>
      </c>
      <c r="G20" s="46">
        <f t="shared" si="1"/>
        <v>47672871686.400024</v>
      </c>
      <c r="H20" s="47">
        <f t="shared" si="2"/>
        <v>4.675313186710393</v>
      </c>
      <c r="I20" s="39"/>
      <c r="J20" s="39"/>
      <c r="K20" s="39"/>
    </row>
    <row r="21" spans="1:11" ht="12.75" customHeight="1">
      <c r="A21" s="44">
        <v>2017</v>
      </c>
      <c r="B21" s="45">
        <v>123535007570.01999</v>
      </c>
      <c r="C21" s="45">
        <v>118564184177.69998</v>
      </c>
      <c r="D21" s="45">
        <f t="shared" si="0"/>
        <v>4970823392.3200073</v>
      </c>
      <c r="E21" s="39"/>
      <c r="F21" s="46">
        <v>496855039333.37994</v>
      </c>
      <c r="G21" s="46">
        <f t="shared" si="1"/>
        <v>-8426478880.5800781</v>
      </c>
      <c r="H21" s="47">
        <f t="shared" si="2"/>
        <v>-1.6951877416524408</v>
      </c>
      <c r="I21" s="39"/>
      <c r="J21" s="39"/>
      <c r="K21" s="39"/>
    </row>
    <row r="22" spans="1:11" ht="12.75" customHeight="1">
      <c r="A22" s="44">
        <v>2018</v>
      </c>
      <c r="B22" s="45">
        <v>120658280961.47</v>
      </c>
      <c r="C22" s="45">
        <v>111405542012.76999</v>
      </c>
      <c r="D22" s="45">
        <f t="shared" si="0"/>
        <v>9252738948.7000122</v>
      </c>
      <c r="E22" s="39"/>
      <c r="F22" s="46">
        <v>529210216975.69995</v>
      </c>
      <c r="G22" s="46">
        <f t="shared" si="1"/>
        <v>32355177642.320007</v>
      </c>
      <c r="H22" s="47">
        <f t="shared" si="2"/>
        <v>3.4968216245705097</v>
      </c>
      <c r="I22" s="39"/>
      <c r="J22" s="39"/>
      <c r="K22" s="39"/>
    </row>
    <row r="23" spans="1:11" ht="12.75" customHeight="1">
      <c r="A23" s="44">
        <v>2019</v>
      </c>
      <c r="B23" s="45">
        <v>128709622679.90999</v>
      </c>
      <c r="C23" s="45">
        <v>162919736251.16</v>
      </c>
      <c r="D23" s="45">
        <f t="shared" si="0"/>
        <v>-34210113571.250015</v>
      </c>
      <c r="E23" s="39"/>
      <c r="F23" s="46">
        <v>536023492180.31006</v>
      </c>
      <c r="G23" s="46">
        <f t="shared" si="1"/>
        <v>6813275204.6101074</v>
      </c>
      <c r="H23" s="47">
        <f t="shared" si="2"/>
        <v>-0.19915967804140661</v>
      </c>
      <c r="I23" s="39"/>
      <c r="J23" s="39"/>
      <c r="K23" s="39"/>
    </row>
    <row r="24" spans="1:11" ht="12.75" customHeight="1">
      <c r="A24" s="44">
        <v>2020</v>
      </c>
      <c r="B24" s="45">
        <v>127274139775.88</v>
      </c>
      <c r="C24" s="45">
        <v>129433714343.14999</v>
      </c>
      <c r="D24" s="45">
        <f t="shared" si="0"/>
        <v>-2159574567.269989</v>
      </c>
      <c r="E24" s="39"/>
      <c r="F24" s="46">
        <v>565694064822.22998</v>
      </c>
      <c r="G24" s="46">
        <f t="shared" si="1"/>
        <v>29670572641.919922</v>
      </c>
      <c r="H24" s="47">
        <f t="shared" si="2"/>
        <v>-13.7390822672207</v>
      </c>
      <c r="I24" s="39"/>
      <c r="J24" s="39"/>
      <c r="K24" s="39"/>
    </row>
    <row r="25" spans="1:11" ht="12.75" customHeight="1">
      <c r="A25" s="44">
        <v>2021</v>
      </c>
      <c r="B25" s="45">
        <v>137161330314.04997</v>
      </c>
      <c r="C25" s="45">
        <v>119738136615.15999</v>
      </c>
      <c r="D25" s="45">
        <f t="shared" si="0"/>
        <v>17423193698.889984</v>
      </c>
      <c r="E25" s="39"/>
      <c r="F25" s="46">
        <v>613483764018.89001</v>
      </c>
      <c r="G25" s="46">
        <f t="shared" si="1"/>
        <v>47789699196.660034</v>
      </c>
      <c r="H25" s="47">
        <f t="shared" si="2"/>
        <v>2.7428782588639113</v>
      </c>
      <c r="I25" s="39"/>
      <c r="J25" s="39"/>
      <c r="K25" s="39"/>
    </row>
    <row r="26" spans="1:11" ht="12.75" customHeight="1">
      <c r="A26" s="44">
        <v>2022</v>
      </c>
      <c r="B26" s="45">
        <v>156297508496.28</v>
      </c>
      <c r="C26" s="45">
        <v>126338136903.95001</v>
      </c>
      <c r="D26" s="45">
        <f t="shared" si="0"/>
        <v>29959371592.329987</v>
      </c>
      <c r="E26" s="39"/>
      <c r="F26" s="46">
        <v>642181755496.98999</v>
      </c>
      <c r="G26" s="46">
        <f t="shared" si="1"/>
        <v>28697991478.099976</v>
      </c>
      <c r="H26" s="47">
        <f t="shared" si="2"/>
        <v>0.95789697689944397</v>
      </c>
      <c r="I26" s="39"/>
      <c r="J26" s="39"/>
      <c r="K26" s="39"/>
    </row>
    <row r="27" spans="1:11" ht="12.75" customHeight="1">
      <c r="A27" s="44">
        <v>2023</v>
      </c>
      <c r="B27" s="45">
        <v>175433290966.83997</v>
      </c>
      <c r="C27" s="45">
        <v>142302206786.14001</v>
      </c>
      <c r="D27" s="45">
        <f t="shared" si="0"/>
        <v>33131084180.699951</v>
      </c>
      <c r="E27" s="39"/>
      <c r="F27" s="46">
        <v>704328026000</v>
      </c>
      <c r="G27" s="46">
        <f t="shared" si="1"/>
        <v>62146270503.01001</v>
      </c>
      <c r="H27" s="47">
        <f t="shared" si="2"/>
        <v>1.8757692976196791</v>
      </c>
      <c r="I27" s="39"/>
      <c r="J27" s="39"/>
      <c r="K27" s="39"/>
    </row>
    <row r="28" spans="1:11" ht="12.75" customHeight="1">
      <c r="A28" s="44">
        <v>2024</v>
      </c>
      <c r="B28" s="45">
        <v>191995440475.74002</v>
      </c>
      <c r="C28" s="45">
        <v>163316148116.76001</v>
      </c>
      <c r="D28" s="45">
        <f t="shared" si="0"/>
        <v>28679292358.980011</v>
      </c>
      <c r="E28" s="39"/>
      <c r="F28" s="46">
        <v>770352889210.25</v>
      </c>
      <c r="G28" s="46">
        <f t="shared" si="1"/>
        <v>66024863210.25</v>
      </c>
      <c r="H28" s="47">
        <f t="shared" si="2"/>
        <v>2.3021789514125306</v>
      </c>
      <c r="I28" s="39"/>
      <c r="J28" s="39"/>
      <c r="K28" s="39"/>
    </row>
    <row r="29" spans="1:11" ht="12.75" customHeight="1">
      <c r="A29" s="44">
        <v>2025</v>
      </c>
      <c r="B29" s="45">
        <v>211665591217.04001</v>
      </c>
      <c r="C29" s="45">
        <v>178226587475.73999</v>
      </c>
      <c r="D29" s="45">
        <f t="shared" si="0"/>
        <v>33439003741.300018</v>
      </c>
      <c r="E29" s="39"/>
      <c r="F29" s="46">
        <v>829780877052.20996</v>
      </c>
      <c r="G29" s="46">
        <f t="shared" si="1"/>
        <v>59427987841.959961</v>
      </c>
      <c r="H29" s="47">
        <f t="shared" si="2"/>
        <v>1.7772056937378591</v>
      </c>
      <c r="I29" s="39"/>
      <c r="J29" s="39"/>
      <c r="K29" s="39"/>
    </row>
    <row r="30" spans="1:11" ht="12.75" customHeight="1">
      <c r="A30" s="39"/>
      <c r="B30" s="39"/>
      <c r="C30" s="39"/>
      <c r="D30" s="39"/>
      <c r="E30" s="39"/>
      <c r="F30" s="39"/>
      <c r="G30" s="39"/>
      <c r="H30" s="48">
        <f>AVERAGE(H7:H29)</f>
        <v>1.4653209741312236</v>
      </c>
      <c r="I30" s="39"/>
      <c r="J30" s="39"/>
      <c r="K30" s="39"/>
    </row>
    <row r="31" spans="1:11" ht="12.75" customHeight="1">
      <c r="A31" s="39"/>
      <c r="B31" s="39"/>
      <c r="C31" s="39"/>
      <c r="D31" s="39"/>
      <c r="E31" s="39"/>
      <c r="F31" s="39"/>
      <c r="G31" s="39"/>
      <c r="H31" s="39"/>
      <c r="I31" s="39"/>
      <c r="J31" s="39"/>
      <c r="K31" s="39"/>
    </row>
    <row r="32" spans="1:11" ht="12.75" customHeight="1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</row>
    <row r="33" spans="1:11" ht="12.75" customHeight="1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</row>
    <row r="34" spans="1:11" ht="12.75" customHeight="1">
      <c r="A34" s="49" t="s">
        <v>177</v>
      </c>
      <c r="B34" s="39"/>
      <c r="C34" s="39"/>
      <c r="D34" s="39"/>
      <c r="E34" s="39"/>
      <c r="F34" s="39"/>
      <c r="G34" s="39"/>
      <c r="H34" s="39"/>
      <c r="I34" s="39"/>
      <c r="J34" s="39"/>
      <c r="K34" s="39"/>
    </row>
    <row r="35" spans="1:11" ht="12.75" customHeight="1">
      <c r="A35" s="49" t="s">
        <v>178</v>
      </c>
      <c r="B35" s="49" t="s">
        <v>3</v>
      </c>
      <c r="C35" s="39"/>
      <c r="D35" s="49" t="s">
        <v>179</v>
      </c>
      <c r="E35" s="39"/>
      <c r="F35" s="39"/>
      <c r="G35" s="39"/>
      <c r="H35" s="39"/>
      <c r="I35" s="39"/>
      <c r="J35" s="39"/>
      <c r="K35" s="39"/>
    </row>
    <row r="36" spans="1:11" ht="12.75" customHeight="1">
      <c r="A36" s="39">
        <v>2016</v>
      </c>
      <c r="B36" s="39">
        <v>52</v>
      </c>
      <c r="C36" s="39"/>
      <c r="D36" s="50">
        <f t="shared" ref="D36:D45" si="3">B36/(F20/1000000000)</f>
        <v>0.10291292700316174</v>
      </c>
      <c r="E36" s="39"/>
      <c r="F36" s="39"/>
      <c r="G36" s="39"/>
      <c r="H36" s="39"/>
      <c r="I36" s="39"/>
      <c r="J36" s="39"/>
      <c r="K36" s="39"/>
    </row>
    <row r="37" spans="1:11" ht="12.75" customHeight="1">
      <c r="A37" s="39">
        <v>2017</v>
      </c>
      <c r="B37" s="39">
        <v>54</v>
      </c>
      <c r="C37" s="39"/>
      <c r="D37" s="50">
        <f t="shared" si="3"/>
        <v>0.10868361136570272</v>
      </c>
      <c r="E37" s="39"/>
      <c r="F37" s="39"/>
      <c r="G37" s="39"/>
      <c r="H37" s="39"/>
      <c r="I37" s="39"/>
      <c r="J37" s="39"/>
      <c r="K37" s="39"/>
    </row>
    <row r="38" spans="1:11" ht="12.75" customHeight="1">
      <c r="A38" s="39">
        <v>2018</v>
      </c>
      <c r="B38" s="39">
        <v>55</v>
      </c>
      <c r="C38" s="39"/>
      <c r="D38" s="50">
        <f t="shared" si="3"/>
        <v>0.10392845458334277</v>
      </c>
      <c r="E38" s="39"/>
      <c r="F38" s="39"/>
      <c r="G38" s="39"/>
      <c r="H38" s="39"/>
      <c r="I38" s="39"/>
      <c r="J38" s="39"/>
      <c r="K38" s="39"/>
    </row>
    <row r="39" spans="1:11" ht="12.75" customHeight="1">
      <c r="A39" s="39">
        <v>2019</v>
      </c>
      <c r="B39" s="39">
        <v>51</v>
      </c>
      <c r="C39" s="39"/>
      <c r="D39" s="50">
        <f t="shared" si="3"/>
        <v>9.5145083646528655E-2</v>
      </c>
      <c r="E39" s="39"/>
      <c r="F39" s="39"/>
      <c r="G39" s="39"/>
      <c r="H39" s="39"/>
      <c r="I39" s="39"/>
      <c r="J39" s="39"/>
      <c r="K39" s="39"/>
    </row>
    <row r="40" spans="1:11" ht="12.75" customHeight="1">
      <c r="A40" s="39">
        <v>2020</v>
      </c>
      <c r="B40" s="39">
        <v>50</v>
      </c>
      <c r="C40" s="39"/>
      <c r="D40" s="50">
        <f t="shared" si="3"/>
        <v>8.8386997688781763E-2</v>
      </c>
      <c r="E40" s="39"/>
      <c r="F40" s="39"/>
      <c r="G40" s="39"/>
      <c r="H40" s="39"/>
      <c r="I40" s="39"/>
      <c r="J40" s="39"/>
      <c r="K40" s="39"/>
    </row>
    <row r="41" spans="1:11" ht="12.75" customHeight="1">
      <c r="A41" s="39">
        <v>2021</v>
      </c>
      <c r="B41" s="39">
        <v>49</v>
      </c>
      <c r="C41" s="39"/>
      <c r="D41" s="50">
        <f t="shared" si="3"/>
        <v>7.9871714418331727E-2</v>
      </c>
      <c r="E41" s="39"/>
      <c r="F41" s="39"/>
      <c r="G41" s="39"/>
      <c r="H41" s="39"/>
      <c r="I41" s="39"/>
      <c r="J41" s="39"/>
      <c r="K41" s="39"/>
    </row>
    <row r="42" spans="1:11" ht="12.75" customHeight="1">
      <c r="A42" s="39">
        <v>2022</v>
      </c>
      <c r="B42" s="39">
        <v>62</v>
      </c>
      <c r="C42" s="39"/>
      <c r="D42" s="50">
        <f t="shared" si="3"/>
        <v>9.6545875788728475E-2</v>
      </c>
      <c r="E42" s="39"/>
      <c r="F42" s="39"/>
      <c r="G42" s="39"/>
      <c r="H42" s="39"/>
      <c r="I42" s="39"/>
      <c r="J42" s="39"/>
      <c r="K42" s="39"/>
    </row>
    <row r="43" spans="1:11" ht="12.75" customHeight="1">
      <c r="A43" s="39">
        <v>2023</v>
      </c>
      <c r="B43" s="39">
        <v>98</v>
      </c>
      <c r="C43" s="39"/>
      <c r="D43" s="50">
        <f t="shared" si="3"/>
        <v>0.13913971385826979</v>
      </c>
      <c r="E43" s="39"/>
      <c r="F43" s="39"/>
      <c r="G43" s="39"/>
      <c r="H43" s="39"/>
      <c r="I43" s="39"/>
      <c r="J43" s="39"/>
      <c r="K43" s="39"/>
    </row>
    <row r="44" spans="1:11" ht="12.75" customHeight="1">
      <c r="A44" s="39">
        <v>2024</v>
      </c>
      <c r="B44" s="39">
        <v>127</v>
      </c>
      <c r="C44" s="39"/>
      <c r="D44" s="50">
        <f t="shared" si="3"/>
        <v>0.16485951020472941</v>
      </c>
      <c r="E44" s="39"/>
      <c r="F44" s="39"/>
      <c r="G44" s="39"/>
      <c r="H44" s="39"/>
      <c r="I44" s="39"/>
      <c r="J44" s="39"/>
      <c r="K44" s="39"/>
    </row>
    <row r="45" spans="1:11" ht="12.75" customHeight="1">
      <c r="A45" s="39">
        <v>2025</v>
      </c>
      <c r="B45" s="39">
        <v>138</v>
      </c>
      <c r="C45" s="39"/>
      <c r="D45" s="50">
        <f t="shared" si="3"/>
        <v>0.16630896639874845</v>
      </c>
      <c r="E45" s="39"/>
      <c r="F45" s="39"/>
      <c r="G45" s="39"/>
      <c r="H45" s="39"/>
      <c r="I45" s="39"/>
      <c r="J45" s="39"/>
      <c r="K45" s="39"/>
    </row>
    <row r="46" spans="1:11" ht="12.75" customHeight="1">
      <c r="A46" s="39"/>
      <c r="B46" s="39"/>
      <c r="C46" s="39"/>
      <c r="D46" s="51">
        <f>AVERAGE(D36:D45)</f>
        <v>0.11457828549563256</v>
      </c>
      <c r="E46" s="39"/>
      <c r="F46" s="39"/>
      <c r="G46" s="39"/>
      <c r="H46" s="39"/>
      <c r="I46" s="39"/>
      <c r="J46" s="39"/>
      <c r="K46" s="39"/>
    </row>
    <row r="47" spans="1:11" ht="12.75" customHeight="1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</row>
    <row r="48" spans="1:11" ht="12.75" customHeight="1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</row>
    <row r="49" spans="1:11" ht="12.75" customHeight="1">
      <c r="A49" s="40" t="s">
        <v>9</v>
      </c>
      <c r="B49" s="41"/>
      <c r="C49" s="41"/>
      <c r="D49" s="41"/>
      <c r="E49" s="41"/>
      <c r="F49" s="41"/>
      <c r="G49" s="41"/>
      <c r="H49" s="41"/>
      <c r="I49" s="41"/>
      <c r="J49" s="41"/>
      <c r="K49" s="41"/>
    </row>
    <row r="50" spans="1:11" ht="12.75" customHeight="1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</row>
    <row r="51" spans="1:11" ht="12.75" customHeight="1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</row>
    <row r="52" spans="1:11" ht="12.75" customHeight="1">
      <c r="A52" s="49" t="s">
        <v>177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</row>
    <row r="53" spans="1:11" ht="12.75" customHeight="1">
      <c r="A53" s="49" t="s">
        <v>178</v>
      </c>
      <c r="B53" s="49" t="s">
        <v>9</v>
      </c>
      <c r="C53" s="39"/>
      <c r="D53" s="39" t="s">
        <v>180</v>
      </c>
      <c r="E53" s="39" t="s">
        <v>181</v>
      </c>
      <c r="F53" s="39"/>
      <c r="G53" s="39"/>
      <c r="H53" s="39"/>
      <c r="I53" s="39"/>
      <c r="J53" s="39"/>
      <c r="K53" s="39"/>
    </row>
    <row r="54" spans="1:11" ht="12.75" customHeight="1">
      <c r="A54" s="39">
        <v>2016</v>
      </c>
      <c r="B54" s="39">
        <v>47</v>
      </c>
      <c r="C54" s="39"/>
      <c r="D54" s="45">
        <v>515955430</v>
      </c>
      <c r="E54" s="52">
        <f t="shared" ref="E54:E63" si="4">B54/(D54/1000000)</f>
        <v>9.1093139576028881E-2</v>
      </c>
      <c r="F54" s="39"/>
      <c r="G54" s="39"/>
      <c r="H54" s="39"/>
      <c r="I54" s="39"/>
      <c r="J54" s="39"/>
      <c r="K54" s="39"/>
    </row>
    <row r="55" spans="1:11" ht="12.75" customHeight="1">
      <c r="A55" s="39">
        <v>2017</v>
      </c>
      <c r="B55" s="39">
        <v>43</v>
      </c>
      <c r="C55" s="39"/>
      <c r="D55" s="45">
        <v>563741676</v>
      </c>
      <c r="E55" s="52">
        <f t="shared" si="4"/>
        <v>7.6276070815101488E-2</v>
      </c>
      <c r="F55" s="39"/>
      <c r="G55" s="39"/>
      <c r="H55" s="39"/>
      <c r="I55" s="39"/>
      <c r="J55" s="39"/>
      <c r="K55" s="39"/>
    </row>
    <row r="56" spans="1:11" ht="12.75" customHeight="1">
      <c r="A56" s="39">
        <v>2018</v>
      </c>
      <c r="B56" s="39">
        <v>57</v>
      </c>
      <c r="C56" s="39"/>
      <c r="D56" s="45">
        <v>618146064</v>
      </c>
      <c r="E56" s="52">
        <f t="shared" si="4"/>
        <v>9.2211215632685806E-2</v>
      </c>
      <c r="F56" s="39"/>
      <c r="G56" s="39"/>
      <c r="H56" s="39"/>
      <c r="I56" s="39"/>
      <c r="J56" s="39"/>
      <c r="K56" s="39"/>
    </row>
    <row r="57" spans="1:11" ht="12.75" customHeight="1">
      <c r="A57" s="39">
        <v>2019</v>
      </c>
      <c r="B57" s="39">
        <v>79</v>
      </c>
      <c r="C57" s="39"/>
      <c r="D57" s="45">
        <v>657531442</v>
      </c>
      <c r="E57" s="52">
        <f t="shared" si="4"/>
        <v>0.12014634579254083</v>
      </c>
      <c r="F57" s="39"/>
      <c r="G57" s="39"/>
      <c r="H57" s="39"/>
      <c r="I57" s="39"/>
      <c r="J57" s="39"/>
      <c r="K57" s="39"/>
    </row>
    <row r="58" spans="1:11" ht="12.75" customHeight="1">
      <c r="A58" s="39">
        <v>2020</v>
      </c>
      <c r="B58" s="39">
        <v>124</v>
      </c>
      <c r="C58" s="39"/>
      <c r="D58" s="45">
        <v>801437986</v>
      </c>
      <c r="E58" s="52">
        <f t="shared" si="4"/>
        <v>0.15472189011016005</v>
      </c>
      <c r="F58" s="39"/>
      <c r="G58" s="39"/>
      <c r="H58" s="39"/>
      <c r="I58" s="39"/>
      <c r="J58" s="39"/>
      <c r="K58" s="39"/>
    </row>
    <row r="59" spans="1:11" ht="12.75" customHeight="1">
      <c r="A59" s="39">
        <v>2021</v>
      </c>
      <c r="B59" s="39">
        <v>205</v>
      </c>
      <c r="C59" s="39"/>
      <c r="D59" s="45">
        <v>790109014</v>
      </c>
      <c r="E59" s="52">
        <f t="shared" si="4"/>
        <v>0.25945786767090345</v>
      </c>
      <c r="F59" s="39"/>
      <c r="G59" s="39"/>
      <c r="H59" s="39"/>
      <c r="I59" s="39"/>
      <c r="J59" s="39"/>
      <c r="K59" s="39"/>
    </row>
    <row r="60" spans="1:11" ht="12.75" customHeight="1">
      <c r="A60" s="39">
        <v>2022</v>
      </c>
      <c r="B60" s="39">
        <v>179</v>
      </c>
      <c r="C60" s="39"/>
      <c r="D60" s="45">
        <v>763815067</v>
      </c>
      <c r="E60" s="52">
        <f t="shared" si="4"/>
        <v>0.23434992020129919</v>
      </c>
      <c r="F60" s="39"/>
      <c r="G60" s="39"/>
      <c r="H60" s="39"/>
      <c r="I60" s="39"/>
      <c r="J60" s="39"/>
      <c r="K60" s="39"/>
    </row>
    <row r="61" spans="1:11" ht="12.75" customHeight="1">
      <c r="A61" s="39">
        <v>2023</v>
      </c>
      <c r="B61" s="39">
        <v>153</v>
      </c>
      <c r="C61" s="39"/>
      <c r="D61" s="45">
        <v>747081247</v>
      </c>
      <c r="E61" s="52">
        <f t="shared" si="4"/>
        <v>0.2047970024872007</v>
      </c>
      <c r="F61" s="39"/>
      <c r="G61" s="39"/>
      <c r="H61" s="39"/>
      <c r="I61" s="39"/>
      <c r="J61" s="39"/>
      <c r="K61" s="39"/>
    </row>
    <row r="62" spans="1:11" ht="12.75" customHeight="1">
      <c r="A62" s="39">
        <v>2024</v>
      </c>
      <c r="B62" s="39">
        <v>180</v>
      </c>
      <c r="C62" s="39"/>
      <c r="D62" s="45">
        <v>773481217</v>
      </c>
      <c r="E62" s="52">
        <f t="shared" si="4"/>
        <v>0.23271411902947348</v>
      </c>
      <c r="F62" s="39"/>
      <c r="G62" s="39"/>
      <c r="H62" s="39"/>
      <c r="I62" s="39"/>
      <c r="J62" s="39"/>
      <c r="K62" s="39"/>
    </row>
    <row r="63" spans="1:11" ht="12.75" customHeight="1">
      <c r="A63" s="39">
        <v>2025</v>
      </c>
      <c r="B63" s="39">
        <v>156</v>
      </c>
      <c r="C63" s="39"/>
      <c r="D63" s="45">
        <v>766482271</v>
      </c>
      <c r="E63" s="52">
        <f t="shared" si="4"/>
        <v>0.20352721243829006</v>
      </c>
      <c r="F63" s="39"/>
      <c r="G63" s="39"/>
      <c r="H63" s="39"/>
      <c r="I63" s="39"/>
      <c r="J63" s="39"/>
      <c r="K63" s="39"/>
    </row>
    <row r="64" spans="1:11" ht="12.75" customHeight="1">
      <c r="A64" s="39"/>
      <c r="B64" s="39"/>
      <c r="C64" s="39"/>
      <c r="D64" s="45"/>
      <c r="E64" s="51">
        <f>AVERAGE(E54:E63)</f>
        <v>0.16692947837536837</v>
      </c>
      <c r="F64" s="39"/>
      <c r="G64" s="39"/>
      <c r="H64" s="39"/>
      <c r="I64" s="39"/>
      <c r="J64" s="39"/>
      <c r="K64" s="39"/>
    </row>
    <row r="65" spans="1:11" ht="12.75" customHeight="1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</row>
    <row r="66" spans="1:11" ht="12.75" customHeight="1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</row>
    <row r="67" spans="1:11" ht="12.75" customHeight="1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</row>
    <row r="68" spans="1:11" ht="12.75" customHeight="1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</row>
    <row r="69" spans="1:11" ht="12.75" customHeight="1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</row>
    <row r="70" spans="1:11" ht="12.75" customHeight="1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</row>
    <row r="71" spans="1:11" ht="12.75" customHeight="1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</row>
    <row r="72" spans="1:11" ht="12.75" customHeight="1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</row>
    <row r="73" spans="1:11" ht="12.75" customHeight="1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</row>
    <row r="74" spans="1:11" ht="12.75" customHeight="1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</row>
    <row r="75" spans="1:11" ht="12.75" customHeight="1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</row>
    <row r="76" spans="1:11" ht="12.75" customHeight="1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</row>
    <row r="77" spans="1:11" ht="12.75" customHeight="1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</row>
    <row r="78" spans="1:11" ht="12.75" customHeight="1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</row>
    <row r="79" spans="1:11" ht="12.75" customHeight="1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</row>
    <row r="80" spans="1:11" ht="12.75" customHeight="1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</row>
    <row r="81" spans="1:11" ht="12.75" customHeight="1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</row>
    <row r="82" spans="1:11" ht="12.75" customHeight="1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</row>
    <row r="83" spans="1:11" ht="12.75" customHeight="1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</row>
    <row r="84" spans="1:11" ht="12.75" customHeight="1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</row>
    <row r="85" spans="1:11" ht="12.75" customHeight="1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</row>
    <row r="86" spans="1:11" ht="12.75" customHeight="1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</row>
    <row r="87" spans="1:11" ht="12.75" customHeight="1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</row>
    <row r="88" spans="1:11" ht="12.75" customHeight="1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</row>
    <row r="89" spans="1:11" ht="12.75" customHeight="1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</row>
    <row r="90" spans="1:11" ht="12.75" customHeight="1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</row>
    <row r="91" spans="1:11" ht="12.75" customHeight="1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</row>
    <row r="92" spans="1:11" ht="12.75" customHeight="1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</row>
    <row r="93" spans="1:11" ht="12.75" customHeight="1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</row>
    <row r="94" spans="1:11" ht="12.75" customHeight="1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</row>
    <row r="95" spans="1:11" ht="12.75" customHeight="1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</row>
    <row r="96" spans="1:11" ht="12.75" customHeight="1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</row>
    <row r="97" spans="1:11" ht="12.75" customHeight="1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</row>
    <row r="98" spans="1:11" ht="12.75" customHeight="1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</row>
    <row r="99" spans="1:11" ht="12.75" customHeight="1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</row>
    <row r="100" spans="1:11" ht="12.75" customHeight="1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consolidado</vt:lpstr>
      <vt:lpstr>juros</vt:lpstr>
      <vt:lpstr>FGTS</vt:lpstr>
      <vt:lpstr>SBPE</vt:lpstr>
      <vt:lpstr>aux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Gustavo Liborio Rocha Lima</cp:lastModifiedBy>
  <dcterms:created xsi:type="dcterms:W3CDTF">2026-03-04T11:45:42Z</dcterms:created>
  <dcterms:modified xsi:type="dcterms:W3CDTF">2026-03-06T19:14:24Z</dcterms:modified>
</cp:coreProperties>
</file>